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Sheet1!$A$12:$M$989</definedName>
    <definedName name="_xlnm.Criteria" localSheetId="0">Sheet1!$G$1:$I$2</definedName>
  </definedNames>
  <calcPr calcId="145621"/>
</workbook>
</file>

<file path=xl/calcChain.xml><?xml version="1.0" encoding="utf-8"?>
<calcChain xmlns="http://schemas.openxmlformats.org/spreadsheetml/2006/main">
  <c r="N989" i="1" l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G6" i="1"/>
  <c r="K107" i="1" l="1"/>
  <c r="K106" i="1"/>
  <c r="K105" i="1"/>
  <c r="K104" i="1"/>
  <c r="K103" i="1"/>
  <c r="K102" i="1"/>
  <c r="K101" i="1"/>
  <c r="K100" i="1"/>
  <c r="K115" i="1"/>
  <c r="K114" i="1"/>
  <c r="K113" i="1"/>
  <c r="K112" i="1"/>
  <c r="K111" i="1"/>
  <c r="K110" i="1"/>
  <c r="K109" i="1"/>
  <c r="K108" i="1"/>
  <c r="K128" i="1"/>
  <c r="K127" i="1"/>
  <c r="K126" i="1"/>
  <c r="K125" i="1"/>
  <c r="K124" i="1"/>
  <c r="K123" i="1"/>
  <c r="K122" i="1"/>
  <c r="K121" i="1"/>
  <c r="K120" i="1"/>
  <c r="K119" i="1"/>
  <c r="K134" i="1"/>
  <c r="K133" i="1"/>
  <c r="K132" i="1"/>
  <c r="K131" i="1"/>
  <c r="K130" i="1"/>
  <c r="K129" i="1"/>
  <c r="K149" i="1"/>
  <c r="K148" i="1"/>
  <c r="K147" i="1"/>
  <c r="K146" i="1"/>
  <c r="K145" i="1"/>
  <c r="K144" i="1"/>
  <c r="K143" i="1"/>
  <c r="K154" i="1"/>
  <c r="K153" i="1"/>
  <c r="K152" i="1"/>
  <c r="K151" i="1"/>
  <c r="K150" i="1"/>
  <c r="K167" i="1"/>
  <c r="K166" i="1"/>
  <c r="K165" i="1"/>
  <c r="K170" i="1"/>
  <c r="K169" i="1"/>
  <c r="K168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505" i="1"/>
  <c r="K504" i="1"/>
  <c r="K538" i="1"/>
  <c r="K537" i="1"/>
  <c r="K536" i="1"/>
  <c r="K535" i="1"/>
  <c r="K534" i="1"/>
  <c r="K533" i="1"/>
  <c r="K532" i="1"/>
  <c r="K531" i="1"/>
  <c r="K530" i="1"/>
  <c r="K529" i="1"/>
  <c r="K528" i="1"/>
  <c r="K542" i="1"/>
  <c r="K541" i="1"/>
  <c r="K540" i="1"/>
  <c r="K553" i="1"/>
  <c r="K579" i="1"/>
  <c r="K646" i="1"/>
  <c r="K645" i="1"/>
  <c r="K644" i="1"/>
  <c r="K643" i="1"/>
  <c r="K642" i="1"/>
  <c r="K641" i="1"/>
  <c r="K640" i="1"/>
  <c r="K649" i="1"/>
  <c r="K664" i="1"/>
  <c r="K663" i="1"/>
  <c r="K662" i="1"/>
  <c r="K661" i="1"/>
  <c r="K823" i="1"/>
  <c r="K876" i="1"/>
  <c r="K556" i="1"/>
  <c r="K570" i="1"/>
  <c r="K569" i="1"/>
  <c r="K568" i="1"/>
  <c r="K567" i="1"/>
  <c r="K566" i="1"/>
  <c r="K565" i="1"/>
  <c r="K564" i="1"/>
  <c r="K563" i="1"/>
  <c r="K562" i="1"/>
  <c r="K561" i="1"/>
  <c r="K578" i="1"/>
  <c r="K596" i="1"/>
  <c r="K595" i="1"/>
  <c r="K594" i="1"/>
  <c r="K593" i="1"/>
  <c r="K592" i="1"/>
  <c r="K591" i="1"/>
  <c r="K590" i="1"/>
  <c r="K589" i="1"/>
  <c r="K588" i="1"/>
  <c r="K587" i="1"/>
  <c r="K586" i="1"/>
  <c r="K600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32" i="1"/>
  <c r="K631" i="1"/>
  <c r="K197" i="1"/>
  <c r="K198" i="1"/>
  <c r="K199" i="1"/>
  <c r="K200" i="1"/>
  <c r="K211" i="1"/>
  <c r="K220" i="1"/>
  <c r="K219" i="1"/>
  <c r="K218" i="1"/>
  <c r="K224" i="1"/>
  <c r="K233" i="1"/>
  <c r="K232" i="1"/>
  <c r="K231" i="1"/>
  <c r="K234" i="1"/>
  <c r="K239" i="1"/>
  <c r="K238" i="1"/>
  <c r="K237" i="1"/>
  <c r="K236" i="1"/>
  <c r="K249" i="1"/>
  <c r="K256" i="1"/>
  <c r="K255" i="1"/>
  <c r="K257" i="1"/>
  <c r="K271" i="1"/>
  <c r="K276" i="1"/>
  <c r="K275" i="1"/>
  <c r="K274" i="1"/>
  <c r="K273" i="1"/>
  <c r="K272" i="1"/>
  <c r="K278" i="1"/>
  <c r="K277" i="1"/>
  <c r="K302" i="1"/>
  <c r="K301" i="1"/>
  <c r="K300" i="1"/>
  <c r="K299" i="1"/>
  <c r="K304" i="1"/>
  <c r="K303" i="1"/>
  <c r="K306" i="1"/>
  <c r="K311" i="1"/>
  <c r="K310" i="1"/>
  <c r="K321" i="1"/>
  <c r="K320" i="1"/>
  <c r="K338" i="1"/>
  <c r="K337" i="1"/>
  <c r="K342" i="1"/>
  <c r="K346" i="1"/>
  <c r="K345" i="1"/>
  <c r="K370" i="1"/>
  <c r="K369" i="1"/>
  <c r="K371" i="1"/>
  <c r="K374" i="1"/>
  <c r="K375" i="1"/>
  <c r="K193" i="1"/>
  <c r="K192" i="1"/>
  <c r="K196" i="1"/>
  <c r="K195" i="1"/>
  <c r="K205" i="1"/>
  <c r="K204" i="1"/>
  <c r="K203" i="1"/>
  <c r="K202" i="1"/>
  <c r="K209" i="1"/>
  <c r="K208" i="1"/>
  <c r="K217" i="1"/>
  <c r="K216" i="1"/>
  <c r="K215" i="1"/>
  <c r="K214" i="1"/>
  <c r="K213" i="1"/>
  <c r="K212" i="1"/>
  <c r="K223" i="1"/>
  <c r="K222" i="1"/>
  <c r="K221" i="1"/>
  <c r="K230" i="1"/>
  <c r="K229" i="1"/>
  <c r="K228" i="1"/>
  <c r="K248" i="1"/>
  <c r="K247" i="1"/>
  <c r="K246" i="1"/>
  <c r="K245" i="1"/>
  <c r="K244" i="1"/>
  <c r="K243" i="1"/>
  <c r="K263" i="1"/>
  <c r="K268" i="1"/>
  <c r="K267" i="1"/>
  <c r="K270" i="1"/>
  <c r="K292" i="1"/>
  <c r="K291" i="1"/>
  <c r="K290" i="1"/>
  <c r="K289" i="1"/>
  <c r="K288" i="1"/>
  <c r="K298" i="1"/>
  <c r="K305" i="1"/>
  <c r="K319" i="1"/>
  <c r="K318" i="1"/>
  <c r="K317" i="1"/>
  <c r="K316" i="1"/>
  <c r="K336" i="1"/>
  <c r="K335" i="1"/>
  <c r="K358" i="1"/>
  <c r="K357" i="1"/>
  <c r="K356" i="1"/>
  <c r="K355" i="1"/>
  <c r="K368" i="1"/>
  <c r="K443" i="1"/>
  <c r="K442" i="1"/>
  <c r="K451" i="1"/>
  <c r="K464" i="1"/>
  <c r="K463" i="1"/>
  <c r="K462" i="1"/>
  <c r="K461" i="1"/>
  <c r="K460" i="1"/>
  <c r="K459" i="1"/>
  <c r="K458" i="1"/>
  <c r="K470" i="1"/>
  <c r="K482" i="1"/>
  <c r="K481" i="1"/>
  <c r="K480" i="1"/>
  <c r="K479" i="1"/>
  <c r="K478" i="1"/>
  <c r="K477" i="1"/>
  <c r="K476" i="1"/>
  <c r="K511" i="1"/>
  <c r="K510" i="1"/>
  <c r="K509" i="1"/>
  <c r="K508" i="1"/>
  <c r="K507" i="1"/>
  <c r="K506" i="1"/>
  <c r="K517" i="1"/>
  <c r="K539" i="1"/>
  <c r="K825" i="1"/>
  <c r="K832" i="1"/>
  <c r="K831" i="1"/>
  <c r="K847" i="1"/>
  <c r="K846" i="1"/>
  <c r="K845" i="1"/>
  <c r="K844" i="1"/>
  <c r="K843" i="1"/>
  <c r="K866" i="1"/>
  <c r="K885" i="1"/>
  <c r="K884" i="1"/>
  <c r="K883" i="1"/>
  <c r="K902" i="1"/>
  <c r="K901" i="1"/>
  <c r="K900" i="1"/>
  <c r="K899" i="1"/>
  <c r="K898" i="1"/>
  <c r="K963" i="1"/>
  <c r="K962" i="1"/>
  <c r="K961" i="1"/>
  <c r="K960" i="1"/>
  <c r="K959" i="1"/>
  <c r="K958" i="1"/>
  <c r="K957" i="1"/>
  <c r="K242" i="1"/>
  <c r="K254" i="1"/>
  <c r="K259" i="1"/>
  <c r="K258" i="1"/>
  <c r="K262" i="1"/>
  <c r="K261" i="1"/>
  <c r="K266" i="1"/>
  <c r="K265" i="1"/>
  <c r="K269" i="1"/>
  <c r="K281" i="1"/>
  <c r="K280" i="1"/>
  <c r="K279" i="1"/>
  <c r="K287" i="1"/>
  <c r="K286" i="1"/>
  <c r="K285" i="1"/>
  <c r="K297" i="1"/>
  <c r="K309" i="1"/>
  <c r="K308" i="1"/>
  <c r="K307" i="1"/>
  <c r="K334" i="1"/>
  <c r="K333" i="1"/>
  <c r="K332" i="1"/>
  <c r="K331" i="1"/>
  <c r="K344" i="1"/>
  <c r="K354" i="1"/>
  <c r="K353" i="1"/>
  <c r="K352" i="1"/>
  <c r="K351" i="1"/>
  <c r="K367" i="1"/>
  <c r="K366" i="1"/>
  <c r="K379" i="1"/>
  <c r="K378" i="1"/>
  <c r="K391" i="1"/>
  <c r="K390" i="1"/>
  <c r="K389" i="1"/>
  <c r="K388" i="1"/>
  <c r="K398" i="1"/>
  <c r="K408" i="1"/>
  <c r="K407" i="1"/>
  <c r="K406" i="1"/>
  <c r="K405" i="1"/>
  <c r="K404" i="1"/>
  <c r="K403" i="1"/>
  <c r="K409" i="1"/>
  <c r="K420" i="1"/>
  <c r="K419" i="1"/>
  <c r="K418" i="1"/>
  <c r="K432" i="1"/>
  <c r="K431" i="1"/>
  <c r="K430" i="1"/>
  <c r="K142" i="1"/>
  <c r="K141" i="1"/>
  <c r="K140" i="1"/>
  <c r="K139" i="1"/>
  <c r="K138" i="1"/>
  <c r="K137" i="1"/>
  <c r="K161" i="1"/>
  <c r="K160" i="1"/>
  <c r="K159" i="1"/>
  <c r="K158" i="1"/>
  <c r="K157" i="1"/>
  <c r="K156" i="1"/>
  <c r="K155" i="1"/>
  <c r="K164" i="1"/>
  <c r="K163" i="1"/>
  <c r="K162" i="1"/>
  <c r="K175" i="1"/>
  <c r="K174" i="1"/>
  <c r="K173" i="1"/>
  <c r="K172" i="1"/>
  <c r="K180" i="1"/>
  <c r="K179" i="1"/>
  <c r="K178" i="1"/>
  <c r="K177" i="1"/>
  <c r="K176" i="1"/>
  <c r="K181" i="1"/>
  <c r="K191" i="1"/>
  <c r="K190" i="1"/>
  <c r="K189" i="1"/>
  <c r="K188" i="1"/>
  <c r="K187" i="1"/>
  <c r="K186" i="1"/>
  <c r="K185" i="1"/>
  <c r="K184" i="1"/>
  <c r="K183" i="1"/>
  <c r="K182" i="1"/>
  <c r="K201" i="1"/>
  <c r="K207" i="1"/>
  <c r="K206" i="1"/>
  <c r="K210" i="1"/>
  <c r="K227" i="1"/>
  <c r="K226" i="1"/>
  <c r="K225" i="1"/>
  <c r="K235" i="1"/>
  <c r="K241" i="1"/>
  <c r="K253" i="1"/>
  <c r="K260" i="1"/>
  <c r="K264" i="1"/>
  <c r="K296" i="1"/>
  <c r="K315" i="1"/>
  <c r="K659" i="1"/>
  <c r="K660" i="1"/>
  <c r="K670" i="1"/>
  <c r="K669" i="1"/>
  <c r="K668" i="1"/>
  <c r="K681" i="1"/>
  <c r="K680" i="1"/>
  <c r="K682" i="1"/>
  <c r="K687" i="1"/>
  <c r="K696" i="1"/>
  <c r="K695" i="1"/>
  <c r="K694" i="1"/>
  <c r="K698" i="1"/>
  <c r="K709" i="1"/>
  <c r="K708" i="1"/>
  <c r="K723" i="1"/>
  <c r="K722" i="1"/>
  <c r="K721" i="1"/>
  <c r="K726" i="1"/>
  <c r="K745" i="1"/>
  <c r="K744" i="1"/>
  <c r="K743" i="1"/>
  <c r="K766" i="1"/>
  <c r="K765" i="1"/>
  <c r="K764" i="1"/>
  <c r="K799" i="1"/>
  <c r="K798" i="1"/>
  <c r="K797" i="1"/>
  <c r="K820" i="1"/>
  <c r="K819" i="1"/>
  <c r="K818" i="1"/>
  <c r="K842" i="1"/>
  <c r="K841" i="1"/>
  <c r="K840" i="1"/>
  <c r="K860" i="1"/>
  <c r="K859" i="1"/>
  <c r="K865" i="1"/>
  <c r="K897" i="1"/>
  <c r="K896" i="1"/>
  <c r="K895" i="1"/>
  <c r="K919" i="1"/>
  <c r="K918" i="1"/>
  <c r="K917" i="1"/>
  <c r="K948" i="1"/>
  <c r="K956" i="1"/>
  <c r="K955" i="1"/>
  <c r="K989" i="1"/>
  <c r="K988" i="1"/>
  <c r="K987" i="1"/>
  <c r="K720" i="1"/>
  <c r="K725" i="1"/>
  <c r="K737" i="1"/>
  <c r="K742" i="1"/>
  <c r="K741" i="1"/>
  <c r="K740" i="1"/>
  <c r="K763" i="1"/>
  <c r="K762" i="1"/>
  <c r="K761" i="1"/>
  <c r="K760" i="1"/>
  <c r="K778" i="1"/>
  <c r="K777" i="1"/>
  <c r="K782" i="1"/>
  <c r="K781" i="1"/>
  <c r="K780" i="1"/>
  <c r="K779" i="1"/>
  <c r="K784" i="1"/>
  <c r="K796" i="1"/>
  <c r="K795" i="1"/>
  <c r="K817" i="1"/>
  <c r="K816" i="1"/>
  <c r="K815" i="1"/>
  <c r="K814" i="1"/>
  <c r="K822" i="1"/>
  <c r="K824" i="1"/>
  <c r="K827" i="1"/>
  <c r="K826" i="1"/>
  <c r="K830" i="1"/>
  <c r="K839" i="1"/>
  <c r="K881" i="1"/>
  <c r="K882" i="1"/>
  <c r="K894" i="1"/>
  <c r="K893" i="1"/>
  <c r="K892" i="1"/>
  <c r="K916" i="1"/>
  <c r="K915" i="1"/>
  <c r="K914" i="1"/>
  <c r="K913" i="1"/>
  <c r="K942" i="1"/>
  <c r="K945" i="1"/>
  <c r="K944" i="1"/>
  <c r="K943" i="1"/>
  <c r="K947" i="1"/>
  <c r="K954" i="1"/>
  <c r="K953" i="1"/>
  <c r="K986" i="1"/>
  <c r="K985" i="1"/>
  <c r="K984" i="1"/>
  <c r="K983" i="1"/>
  <c r="K982" i="1"/>
  <c r="K651" i="1"/>
  <c r="K653" i="1"/>
  <c r="K652" i="1"/>
  <c r="K658" i="1"/>
  <c r="K657" i="1"/>
  <c r="K656" i="1"/>
  <c r="K655" i="1"/>
  <c r="K654" i="1"/>
  <c r="K667" i="1"/>
  <c r="K679" i="1"/>
  <c r="K678" i="1"/>
  <c r="K677" i="1"/>
  <c r="K676" i="1"/>
  <c r="K675" i="1"/>
  <c r="K674" i="1"/>
  <c r="K719" i="1"/>
  <c r="K718" i="1"/>
  <c r="K717" i="1"/>
  <c r="K716" i="1"/>
  <c r="K715" i="1"/>
  <c r="K714" i="1"/>
  <c r="K713" i="1"/>
  <c r="K759" i="1"/>
  <c r="K758" i="1"/>
  <c r="K757" i="1"/>
  <c r="K756" i="1"/>
  <c r="K755" i="1"/>
  <c r="K754" i="1"/>
  <c r="K753" i="1"/>
  <c r="K794" i="1"/>
  <c r="K793" i="1"/>
  <c r="K792" i="1"/>
  <c r="K813" i="1"/>
  <c r="K812" i="1"/>
  <c r="K811" i="1"/>
  <c r="K810" i="1"/>
  <c r="K891" i="1"/>
  <c r="K890" i="1"/>
  <c r="K889" i="1"/>
  <c r="K912" i="1"/>
  <c r="K911" i="1"/>
  <c r="K910" i="1"/>
  <c r="K909" i="1"/>
  <c r="K952" i="1"/>
  <c r="K951" i="1"/>
  <c r="K950" i="1"/>
  <c r="K981" i="1"/>
  <c r="K980" i="1"/>
  <c r="K979" i="1"/>
  <c r="K978" i="1"/>
  <c r="K36" i="1"/>
  <c r="K39" i="1"/>
  <c r="K38" i="1"/>
  <c r="K37" i="1"/>
  <c r="K42" i="1"/>
  <c r="K41" i="1"/>
  <c r="K40" i="1"/>
  <c r="K43" i="1"/>
  <c r="K45" i="1"/>
  <c r="K50" i="1"/>
  <c r="K49" i="1"/>
  <c r="K48" i="1"/>
  <c r="K54" i="1"/>
  <c r="K53" i="1"/>
  <c r="K52" i="1"/>
  <c r="K55" i="1"/>
  <c r="K67" i="1"/>
  <c r="K66" i="1"/>
  <c r="K69" i="1"/>
  <c r="K68" i="1"/>
  <c r="K71" i="1"/>
  <c r="K70" i="1"/>
  <c r="K73" i="1"/>
  <c r="K72" i="1"/>
  <c r="K74" i="1"/>
  <c r="K77" i="1"/>
  <c r="K76" i="1"/>
  <c r="K75" i="1"/>
  <c r="K79" i="1"/>
  <c r="K78" i="1"/>
  <c r="K81" i="1"/>
  <c r="K80" i="1"/>
  <c r="K83" i="1"/>
  <c r="K82" i="1"/>
  <c r="K87" i="1"/>
  <c r="K86" i="1"/>
  <c r="K85" i="1"/>
  <c r="K84" i="1"/>
  <c r="K89" i="1"/>
  <c r="K88" i="1"/>
  <c r="K91" i="1"/>
  <c r="K90" i="1"/>
  <c r="K94" i="1"/>
  <c r="K93" i="1"/>
  <c r="K92" i="1"/>
  <c r="K97" i="1"/>
  <c r="K96" i="1"/>
  <c r="K95" i="1"/>
  <c r="K99" i="1"/>
  <c r="K98" i="1"/>
  <c r="K240" i="1"/>
  <c r="K252" i="1"/>
  <c r="K251" i="1"/>
  <c r="K250" i="1"/>
  <c r="K284" i="1"/>
  <c r="K283" i="1"/>
  <c r="K282" i="1"/>
  <c r="K295" i="1"/>
  <c r="K294" i="1"/>
  <c r="K293" i="1"/>
  <c r="K314" i="1"/>
  <c r="K313" i="1"/>
  <c r="K312" i="1"/>
  <c r="K330" i="1"/>
  <c r="K329" i="1"/>
  <c r="K328" i="1"/>
  <c r="K350" i="1"/>
  <c r="K349" i="1"/>
  <c r="K348" i="1"/>
  <c r="K365" i="1"/>
  <c r="K364" i="1"/>
  <c r="K363" i="1"/>
  <c r="K387" i="1"/>
  <c r="K386" i="1"/>
  <c r="K385" i="1"/>
  <c r="K397" i="1"/>
  <c r="K396" i="1"/>
  <c r="K395" i="1"/>
  <c r="K417" i="1"/>
  <c r="K416" i="1"/>
  <c r="K415" i="1"/>
  <c r="K429" i="1"/>
  <c r="K428" i="1"/>
  <c r="K427" i="1"/>
  <c r="K441" i="1"/>
  <c r="K440" i="1"/>
  <c r="K439" i="1"/>
  <c r="K449" i="1"/>
  <c r="K448" i="1"/>
  <c r="K447" i="1"/>
  <c r="K457" i="1"/>
  <c r="K456" i="1"/>
  <c r="K455" i="1"/>
  <c r="K468" i="1"/>
  <c r="K467" i="1"/>
  <c r="K466" i="1"/>
  <c r="K475" i="1"/>
  <c r="K474" i="1"/>
  <c r="K473" i="1"/>
  <c r="K485" i="1"/>
  <c r="K450" i="1"/>
  <c r="K454" i="1"/>
  <c r="K453" i="1"/>
  <c r="K452" i="1"/>
  <c r="K465" i="1"/>
  <c r="K469" i="1"/>
  <c r="K472" i="1"/>
  <c r="K471" i="1"/>
  <c r="K484" i="1"/>
  <c r="K483" i="1"/>
  <c r="K513" i="1"/>
  <c r="K516" i="1"/>
  <c r="K515" i="1"/>
  <c r="K519" i="1"/>
  <c r="K518" i="1"/>
  <c r="K521" i="1"/>
  <c r="K523" i="1"/>
  <c r="K522" i="1"/>
  <c r="K527" i="1"/>
  <c r="K526" i="1"/>
  <c r="K544" i="1"/>
  <c r="K549" i="1"/>
  <c r="K548" i="1"/>
  <c r="K547" i="1"/>
  <c r="K552" i="1"/>
  <c r="K555" i="1"/>
  <c r="K560" i="1"/>
  <c r="K559" i="1"/>
  <c r="K577" i="1"/>
  <c r="K576" i="1"/>
  <c r="K582" i="1"/>
  <c r="K585" i="1"/>
  <c r="K584" i="1"/>
  <c r="K599" i="1"/>
  <c r="K601" i="1"/>
  <c r="K614" i="1"/>
  <c r="K615" i="1"/>
  <c r="K628" i="1"/>
  <c r="K629" i="1"/>
  <c r="K630" i="1"/>
  <c r="K633" i="1"/>
  <c r="K634" i="1"/>
  <c r="K636" i="1"/>
  <c r="K635" i="1"/>
  <c r="K638" i="1"/>
  <c r="K637" i="1"/>
  <c r="K639" i="1"/>
  <c r="K648" i="1"/>
  <c r="K647" i="1"/>
  <c r="K650" i="1"/>
  <c r="K701" i="1"/>
  <c r="K734" i="1"/>
  <c r="K733" i="1"/>
  <c r="K732" i="1"/>
  <c r="K731" i="1"/>
  <c r="K730" i="1"/>
  <c r="K729" i="1"/>
  <c r="K728" i="1"/>
  <c r="K727" i="1"/>
  <c r="K775" i="1"/>
  <c r="K774" i="1"/>
  <c r="K773" i="1"/>
  <c r="K772" i="1"/>
  <c r="K771" i="1"/>
  <c r="K770" i="1"/>
  <c r="K769" i="1"/>
  <c r="K768" i="1"/>
  <c r="K864" i="1"/>
  <c r="K863" i="1"/>
  <c r="K862" i="1"/>
  <c r="K861" i="1"/>
  <c r="K875" i="1"/>
  <c r="K874" i="1"/>
  <c r="K873" i="1"/>
  <c r="K872" i="1"/>
  <c r="K871" i="1"/>
  <c r="K870" i="1"/>
  <c r="K869" i="1"/>
  <c r="K868" i="1"/>
  <c r="K880" i="1"/>
  <c r="K879" i="1"/>
  <c r="K878" i="1"/>
  <c r="K877" i="1"/>
  <c r="K927" i="1"/>
  <c r="K926" i="1"/>
  <c r="K925" i="1"/>
  <c r="K924" i="1"/>
  <c r="K936" i="1"/>
  <c r="K935" i="1"/>
  <c r="K934" i="1"/>
  <c r="K933" i="1"/>
  <c r="K932" i="1"/>
  <c r="K931" i="1"/>
  <c r="K930" i="1"/>
  <c r="K929" i="1"/>
  <c r="K941" i="1"/>
  <c r="K940" i="1"/>
  <c r="K939" i="1"/>
  <c r="K938" i="1"/>
  <c r="K327" i="1"/>
  <c r="K326" i="1"/>
  <c r="K325" i="1"/>
  <c r="K324" i="1"/>
  <c r="K323" i="1"/>
  <c r="K322" i="1"/>
  <c r="K341" i="1"/>
  <c r="K340" i="1"/>
  <c r="K339" i="1"/>
  <c r="K343" i="1"/>
  <c r="K347" i="1"/>
  <c r="K362" i="1"/>
  <c r="K361" i="1"/>
  <c r="K360" i="1"/>
  <c r="K359" i="1"/>
  <c r="K373" i="1"/>
  <c r="K372" i="1"/>
  <c r="K376" i="1"/>
  <c r="K377" i="1"/>
  <c r="K384" i="1"/>
  <c r="K383" i="1"/>
  <c r="K382" i="1"/>
  <c r="K381" i="1"/>
  <c r="K380" i="1"/>
  <c r="K394" i="1"/>
  <c r="K393" i="1"/>
  <c r="K392" i="1"/>
  <c r="K399" i="1"/>
  <c r="K402" i="1"/>
  <c r="K401" i="1"/>
  <c r="K400" i="1"/>
  <c r="K411" i="1"/>
  <c r="K410" i="1"/>
  <c r="K414" i="1"/>
  <c r="K413" i="1"/>
  <c r="K412" i="1"/>
  <c r="K426" i="1"/>
  <c r="K425" i="1"/>
  <c r="K424" i="1"/>
  <c r="K423" i="1"/>
  <c r="K422" i="1"/>
  <c r="K421" i="1"/>
  <c r="K433" i="1"/>
  <c r="K438" i="1"/>
  <c r="K437" i="1"/>
  <c r="K436" i="1"/>
  <c r="K435" i="1"/>
  <c r="K446" i="1"/>
  <c r="K445" i="1"/>
  <c r="K444" i="1"/>
  <c r="K752" i="1"/>
  <c r="K767" i="1"/>
  <c r="K776" i="1"/>
  <c r="K791" i="1"/>
  <c r="K790" i="1"/>
  <c r="K789" i="1"/>
  <c r="K788" i="1"/>
  <c r="K787" i="1"/>
  <c r="K786" i="1"/>
  <c r="K809" i="1"/>
  <c r="K808" i="1"/>
  <c r="K807" i="1"/>
  <c r="K806" i="1"/>
  <c r="K805" i="1"/>
  <c r="K821" i="1"/>
  <c r="K829" i="1"/>
  <c r="K838" i="1"/>
  <c r="K837" i="1"/>
  <c r="K836" i="1"/>
  <c r="K835" i="1"/>
  <c r="K834" i="1"/>
  <c r="K858" i="1"/>
  <c r="K857" i="1"/>
  <c r="K856" i="1"/>
  <c r="K855" i="1"/>
  <c r="K854" i="1"/>
  <c r="K867" i="1"/>
  <c r="K888" i="1"/>
  <c r="K887" i="1"/>
  <c r="K886" i="1"/>
  <c r="K908" i="1"/>
  <c r="K907" i="1"/>
  <c r="K906" i="1"/>
  <c r="K923" i="1"/>
  <c r="K922" i="1"/>
  <c r="K921" i="1"/>
  <c r="K920" i="1"/>
  <c r="K928" i="1"/>
  <c r="K937" i="1"/>
  <c r="K946" i="1"/>
  <c r="K949" i="1"/>
  <c r="K977" i="1"/>
  <c r="K976" i="1"/>
  <c r="K975" i="1"/>
  <c r="K974" i="1"/>
  <c r="K973" i="1"/>
  <c r="K972" i="1"/>
  <c r="K971" i="1"/>
  <c r="K970" i="1"/>
  <c r="K969" i="1"/>
  <c r="K434" i="1"/>
  <c r="K575" i="1"/>
  <c r="K574" i="1"/>
  <c r="K573" i="1"/>
  <c r="K693" i="1"/>
  <c r="K692" i="1"/>
  <c r="K691" i="1"/>
  <c r="K751" i="1"/>
  <c r="K804" i="1"/>
  <c r="K803" i="1"/>
  <c r="K802" i="1"/>
  <c r="K853" i="1"/>
  <c r="K852" i="1"/>
  <c r="K851" i="1"/>
  <c r="K850" i="1"/>
  <c r="K905" i="1"/>
  <c r="K904" i="1"/>
  <c r="K903" i="1"/>
  <c r="K968" i="1"/>
  <c r="K967" i="1"/>
  <c r="K512" i="1"/>
  <c r="K514" i="1"/>
  <c r="K520" i="1"/>
  <c r="K525" i="1"/>
  <c r="K524" i="1"/>
  <c r="K543" i="1"/>
  <c r="K546" i="1"/>
  <c r="K545" i="1"/>
  <c r="K551" i="1"/>
  <c r="K550" i="1"/>
  <c r="K554" i="1"/>
  <c r="K558" i="1"/>
  <c r="K557" i="1"/>
  <c r="K572" i="1"/>
  <c r="K571" i="1"/>
  <c r="K581" i="1"/>
  <c r="K580" i="1"/>
  <c r="K583" i="1"/>
  <c r="K598" i="1"/>
  <c r="K597" i="1"/>
  <c r="K665" i="1"/>
  <c r="K666" i="1"/>
  <c r="K673" i="1"/>
  <c r="K672" i="1"/>
  <c r="K671" i="1"/>
  <c r="K683" i="1"/>
  <c r="K686" i="1"/>
  <c r="K690" i="1"/>
  <c r="K689" i="1"/>
  <c r="K712" i="1"/>
  <c r="K711" i="1"/>
  <c r="K710" i="1"/>
  <c r="K724" i="1"/>
  <c r="K738" i="1"/>
  <c r="K750" i="1"/>
  <c r="K749" i="1"/>
  <c r="K748" i="1"/>
  <c r="K747" i="1"/>
  <c r="K783" i="1"/>
  <c r="K785" i="1"/>
  <c r="K801" i="1"/>
  <c r="K800" i="1"/>
  <c r="K828" i="1"/>
  <c r="K833" i="1"/>
  <c r="K849" i="1"/>
  <c r="K848" i="1"/>
  <c r="K966" i="1"/>
  <c r="K965" i="1"/>
  <c r="K964" i="1"/>
  <c r="K14" i="1"/>
  <c r="K13" i="1"/>
  <c r="K16" i="1"/>
  <c r="K15" i="1"/>
  <c r="K18" i="1"/>
  <c r="K17" i="1"/>
  <c r="K20" i="1"/>
  <c r="K19" i="1"/>
  <c r="K22" i="1"/>
  <c r="K21" i="1"/>
  <c r="K24" i="1"/>
  <c r="K23" i="1"/>
  <c r="K26" i="1"/>
  <c r="K25" i="1"/>
  <c r="K28" i="1"/>
  <c r="K27" i="1"/>
  <c r="K30" i="1"/>
  <c r="K29" i="1"/>
  <c r="K31" i="1"/>
  <c r="K34" i="1"/>
  <c r="K33" i="1"/>
  <c r="K32" i="1"/>
  <c r="K35" i="1"/>
  <c r="K44" i="1"/>
  <c r="K47" i="1"/>
  <c r="K46" i="1"/>
  <c r="K51" i="1"/>
  <c r="K56" i="1"/>
  <c r="K59" i="1"/>
  <c r="K58" i="1"/>
  <c r="K57" i="1"/>
  <c r="K65" i="1"/>
  <c r="K64" i="1"/>
  <c r="K63" i="1"/>
  <c r="K62" i="1"/>
  <c r="K61" i="1"/>
  <c r="K60" i="1"/>
  <c r="K117" i="1"/>
  <c r="K116" i="1"/>
  <c r="K118" i="1"/>
  <c r="K136" i="1"/>
  <c r="K135" i="1"/>
  <c r="K171" i="1"/>
  <c r="K194" i="1"/>
  <c r="K685" i="1"/>
  <c r="K684" i="1"/>
  <c r="K688" i="1"/>
  <c r="K697" i="1"/>
  <c r="K700" i="1"/>
  <c r="K699" i="1"/>
  <c r="K703" i="1"/>
  <c r="K702" i="1"/>
  <c r="K705" i="1"/>
  <c r="K704" i="1"/>
  <c r="K707" i="1"/>
  <c r="K706" i="1"/>
  <c r="K736" i="1"/>
  <c r="K735" i="1"/>
  <c r="K739" i="1"/>
  <c r="L107" i="1"/>
  <c r="M107" i="1" s="1"/>
  <c r="L106" i="1"/>
  <c r="M106" i="1" s="1"/>
  <c r="L105" i="1"/>
  <c r="M105" i="1" s="1"/>
  <c r="L104" i="1"/>
  <c r="M104" i="1" s="1"/>
  <c r="L103" i="1"/>
  <c r="M103" i="1" s="1"/>
  <c r="L102" i="1"/>
  <c r="M102" i="1" s="1"/>
  <c r="L101" i="1"/>
  <c r="M101" i="1" s="1"/>
  <c r="L100" i="1"/>
  <c r="M100" i="1" s="1"/>
  <c r="L115" i="1"/>
  <c r="M115" i="1" s="1"/>
  <c r="L114" i="1"/>
  <c r="M114" i="1" s="1"/>
  <c r="L113" i="1"/>
  <c r="M113" i="1" s="1"/>
  <c r="L112" i="1"/>
  <c r="M112" i="1" s="1"/>
  <c r="L111" i="1"/>
  <c r="M111" i="1" s="1"/>
  <c r="L110" i="1"/>
  <c r="M110" i="1" s="1"/>
  <c r="L109" i="1"/>
  <c r="M109" i="1" s="1"/>
  <c r="L108" i="1"/>
  <c r="M108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M123" i="1" s="1"/>
  <c r="L122" i="1"/>
  <c r="M122" i="1" s="1"/>
  <c r="L121" i="1"/>
  <c r="M121" i="1" s="1"/>
  <c r="L120" i="1"/>
  <c r="M120" i="1" s="1"/>
  <c r="L119" i="1"/>
  <c r="M119" i="1" s="1"/>
  <c r="L134" i="1"/>
  <c r="M134" i="1" s="1"/>
  <c r="L133" i="1"/>
  <c r="M133" i="1" s="1"/>
  <c r="L132" i="1"/>
  <c r="M132" i="1" s="1"/>
  <c r="L131" i="1"/>
  <c r="M131" i="1" s="1"/>
  <c r="L130" i="1"/>
  <c r="M130" i="1" s="1"/>
  <c r="L129" i="1"/>
  <c r="M129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54" i="1"/>
  <c r="M154" i="1" s="1"/>
  <c r="L153" i="1"/>
  <c r="M153" i="1" s="1"/>
  <c r="L152" i="1"/>
  <c r="M152" i="1" s="1"/>
  <c r="L151" i="1"/>
  <c r="M151" i="1" s="1"/>
  <c r="L150" i="1"/>
  <c r="M150" i="1" s="1"/>
  <c r="L167" i="1"/>
  <c r="M167" i="1" s="1"/>
  <c r="L166" i="1"/>
  <c r="M166" i="1" s="1"/>
  <c r="L165" i="1"/>
  <c r="M165" i="1" s="1"/>
  <c r="L170" i="1"/>
  <c r="M170" i="1" s="1"/>
  <c r="L169" i="1"/>
  <c r="M169" i="1" s="1"/>
  <c r="L168" i="1"/>
  <c r="M168" i="1" s="1"/>
  <c r="L503" i="1"/>
  <c r="M503" i="1" s="1"/>
  <c r="L502" i="1"/>
  <c r="M502" i="1" s="1"/>
  <c r="L501" i="1"/>
  <c r="M501" i="1" s="1"/>
  <c r="L500" i="1"/>
  <c r="M500" i="1" s="1"/>
  <c r="L499" i="1"/>
  <c r="M499" i="1" s="1"/>
  <c r="L498" i="1"/>
  <c r="M498" i="1" s="1"/>
  <c r="L497" i="1"/>
  <c r="M497" i="1" s="1"/>
  <c r="L496" i="1"/>
  <c r="M496" i="1" s="1"/>
  <c r="L495" i="1"/>
  <c r="M495" i="1" s="1"/>
  <c r="L494" i="1"/>
  <c r="M494" i="1" s="1"/>
  <c r="L493" i="1"/>
  <c r="M493" i="1" s="1"/>
  <c r="L492" i="1"/>
  <c r="M492" i="1" s="1"/>
  <c r="L491" i="1"/>
  <c r="M491" i="1" s="1"/>
  <c r="L490" i="1"/>
  <c r="M490" i="1" s="1"/>
  <c r="L489" i="1"/>
  <c r="M489" i="1" s="1"/>
  <c r="L488" i="1"/>
  <c r="M488" i="1" s="1"/>
  <c r="L487" i="1"/>
  <c r="M487" i="1" s="1"/>
  <c r="L486" i="1"/>
  <c r="M486" i="1" s="1"/>
  <c r="L505" i="1"/>
  <c r="M505" i="1" s="1"/>
  <c r="L504" i="1"/>
  <c r="M504" i="1" s="1"/>
  <c r="L538" i="1"/>
  <c r="M538" i="1" s="1"/>
  <c r="L537" i="1"/>
  <c r="M537" i="1" s="1"/>
  <c r="L536" i="1"/>
  <c r="M536" i="1" s="1"/>
  <c r="L535" i="1"/>
  <c r="M535" i="1" s="1"/>
  <c r="L534" i="1"/>
  <c r="M534" i="1" s="1"/>
  <c r="L533" i="1"/>
  <c r="M533" i="1" s="1"/>
  <c r="L532" i="1"/>
  <c r="M532" i="1" s="1"/>
  <c r="L531" i="1"/>
  <c r="M531" i="1" s="1"/>
  <c r="L530" i="1"/>
  <c r="M530" i="1" s="1"/>
  <c r="L529" i="1"/>
  <c r="M529" i="1" s="1"/>
  <c r="L528" i="1"/>
  <c r="M528" i="1" s="1"/>
  <c r="L542" i="1"/>
  <c r="M542" i="1" s="1"/>
  <c r="L541" i="1"/>
  <c r="M541" i="1" s="1"/>
  <c r="L540" i="1"/>
  <c r="M540" i="1" s="1"/>
  <c r="L553" i="1"/>
  <c r="M553" i="1" s="1"/>
  <c r="L579" i="1"/>
  <c r="M579" i="1" s="1"/>
  <c r="L646" i="1"/>
  <c r="M646" i="1" s="1"/>
  <c r="L645" i="1"/>
  <c r="M645" i="1" s="1"/>
  <c r="L644" i="1"/>
  <c r="M644" i="1" s="1"/>
  <c r="L643" i="1"/>
  <c r="M643" i="1" s="1"/>
  <c r="L642" i="1"/>
  <c r="M642" i="1" s="1"/>
  <c r="L641" i="1"/>
  <c r="M641" i="1" s="1"/>
  <c r="L640" i="1"/>
  <c r="M640" i="1" s="1"/>
  <c r="L649" i="1"/>
  <c r="M649" i="1" s="1"/>
  <c r="L664" i="1"/>
  <c r="M664" i="1" s="1"/>
  <c r="L663" i="1"/>
  <c r="M663" i="1" s="1"/>
  <c r="L662" i="1"/>
  <c r="M662" i="1" s="1"/>
  <c r="L661" i="1"/>
  <c r="M661" i="1" s="1"/>
  <c r="L823" i="1"/>
  <c r="M823" i="1" s="1"/>
  <c r="L876" i="1"/>
  <c r="M876" i="1" s="1"/>
  <c r="L556" i="1"/>
  <c r="M556" i="1" s="1"/>
  <c r="L570" i="1"/>
  <c r="M570" i="1" s="1"/>
  <c r="L569" i="1"/>
  <c r="M569" i="1" s="1"/>
  <c r="L568" i="1"/>
  <c r="M568" i="1" s="1"/>
  <c r="L567" i="1"/>
  <c r="M567" i="1" s="1"/>
  <c r="L566" i="1"/>
  <c r="M566" i="1" s="1"/>
  <c r="L565" i="1"/>
  <c r="M565" i="1" s="1"/>
  <c r="L564" i="1"/>
  <c r="M564" i="1" s="1"/>
  <c r="L563" i="1"/>
  <c r="M563" i="1" s="1"/>
  <c r="L562" i="1"/>
  <c r="M562" i="1" s="1"/>
  <c r="L561" i="1"/>
  <c r="M561" i="1" s="1"/>
  <c r="L578" i="1"/>
  <c r="M578" i="1" s="1"/>
  <c r="L596" i="1"/>
  <c r="M596" i="1" s="1"/>
  <c r="L595" i="1"/>
  <c r="M595" i="1" s="1"/>
  <c r="L594" i="1"/>
  <c r="M594" i="1" s="1"/>
  <c r="L593" i="1"/>
  <c r="M593" i="1" s="1"/>
  <c r="L592" i="1"/>
  <c r="M592" i="1" s="1"/>
  <c r="L591" i="1"/>
  <c r="M591" i="1" s="1"/>
  <c r="L590" i="1"/>
  <c r="M590" i="1" s="1"/>
  <c r="L589" i="1"/>
  <c r="M589" i="1" s="1"/>
  <c r="L588" i="1"/>
  <c r="M588" i="1" s="1"/>
  <c r="L587" i="1"/>
  <c r="M587" i="1" s="1"/>
  <c r="L586" i="1"/>
  <c r="M586" i="1" s="1"/>
  <c r="L600" i="1"/>
  <c r="M600" i="1" s="1"/>
  <c r="L613" i="1"/>
  <c r="M613" i="1" s="1"/>
  <c r="L612" i="1"/>
  <c r="M612" i="1" s="1"/>
  <c r="L611" i="1"/>
  <c r="M611" i="1" s="1"/>
  <c r="L610" i="1"/>
  <c r="M610" i="1" s="1"/>
  <c r="L609" i="1"/>
  <c r="M609" i="1" s="1"/>
  <c r="L608" i="1"/>
  <c r="M608" i="1" s="1"/>
  <c r="L607" i="1"/>
  <c r="M607" i="1" s="1"/>
  <c r="L606" i="1"/>
  <c r="M606" i="1" s="1"/>
  <c r="L605" i="1"/>
  <c r="M605" i="1" s="1"/>
  <c r="L604" i="1"/>
  <c r="M604" i="1" s="1"/>
  <c r="L603" i="1"/>
  <c r="M603" i="1" s="1"/>
  <c r="L602" i="1"/>
  <c r="M602" i="1" s="1"/>
  <c r="L627" i="1"/>
  <c r="M627" i="1" s="1"/>
  <c r="L626" i="1"/>
  <c r="M626" i="1" s="1"/>
  <c r="L625" i="1"/>
  <c r="M625" i="1" s="1"/>
  <c r="L624" i="1"/>
  <c r="M624" i="1" s="1"/>
  <c r="L623" i="1"/>
  <c r="M623" i="1" s="1"/>
  <c r="L622" i="1"/>
  <c r="M622" i="1" s="1"/>
  <c r="L621" i="1"/>
  <c r="M621" i="1" s="1"/>
  <c r="L620" i="1"/>
  <c r="M620" i="1" s="1"/>
  <c r="L619" i="1"/>
  <c r="M619" i="1" s="1"/>
  <c r="L618" i="1"/>
  <c r="M618" i="1" s="1"/>
  <c r="L617" i="1"/>
  <c r="M617" i="1" s="1"/>
  <c r="L616" i="1"/>
  <c r="M616" i="1" s="1"/>
  <c r="L632" i="1"/>
  <c r="M632" i="1" s="1"/>
  <c r="L631" i="1"/>
  <c r="M631" i="1" s="1"/>
  <c r="L197" i="1"/>
  <c r="M197" i="1" s="1"/>
  <c r="L198" i="1"/>
  <c r="M198" i="1" s="1"/>
  <c r="L199" i="1"/>
  <c r="M199" i="1" s="1"/>
  <c r="L200" i="1"/>
  <c r="M200" i="1" s="1"/>
  <c r="L211" i="1"/>
  <c r="M211" i="1" s="1"/>
  <c r="L220" i="1"/>
  <c r="M220" i="1" s="1"/>
  <c r="L219" i="1"/>
  <c r="M219" i="1" s="1"/>
  <c r="L218" i="1"/>
  <c r="M218" i="1" s="1"/>
  <c r="L224" i="1"/>
  <c r="M224" i="1" s="1"/>
  <c r="L233" i="1"/>
  <c r="M233" i="1" s="1"/>
  <c r="L232" i="1"/>
  <c r="M232" i="1" s="1"/>
  <c r="L231" i="1"/>
  <c r="M231" i="1" s="1"/>
  <c r="L234" i="1"/>
  <c r="M234" i="1" s="1"/>
  <c r="L239" i="1"/>
  <c r="M239" i="1" s="1"/>
  <c r="L238" i="1"/>
  <c r="M238" i="1" s="1"/>
  <c r="L237" i="1"/>
  <c r="M237" i="1" s="1"/>
  <c r="L236" i="1"/>
  <c r="M236" i="1" s="1"/>
  <c r="L249" i="1"/>
  <c r="M249" i="1" s="1"/>
  <c r="L256" i="1"/>
  <c r="M256" i="1" s="1"/>
  <c r="L255" i="1"/>
  <c r="M255" i="1" s="1"/>
  <c r="L257" i="1"/>
  <c r="M257" i="1" s="1"/>
  <c r="L271" i="1"/>
  <c r="M271" i="1" s="1"/>
  <c r="L276" i="1"/>
  <c r="M276" i="1" s="1"/>
  <c r="L275" i="1"/>
  <c r="M275" i="1" s="1"/>
  <c r="L274" i="1"/>
  <c r="M274" i="1" s="1"/>
  <c r="L273" i="1"/>
  <c r="M273" i="1" s="1"/>
  <c r="L272" i="1"/>
  <c r="M272" i="1" s="1"/>
  <c r="L278" i="1"/>
  <c r="M278" i="1" s="1"/>
  <c r="L277" i="1"/>
  <c r="M277" i="1" s="1"/>
  <c r="L302" i="1"/>
  <c r="M302" i="1" s="1"/>
  <c r="L301" i="1"/>
  <c r="M301" i="1" s="1"/>
  <c r="L300" i="1"/>
  <c r="M300" i="1" s="1"/>
  <c r="L299" i="1"/>
  <c r="M299" i="1" s="1"/>
  <c r="L304" i="1"/>
  <c r="M304" i="1" s="1"/>
  <c r="L303" i="1"/>
  <c r="M303" i="1" s="1"/>
  <c r="L306" i="1"/>
  <c r="M306" i="1" s="1"/>
  <c r="L311" i="1"/>
  <c r="M311" i="1" s="1"/>
  <c r="L310" i="1"/>
  <c r="M310" i="1" s="1"/>
  <c r="L321" i="1"/>
  <c r="M321" i="1" s="1"/>
  <c r="L320" i="1"/>
  <c r="M320" i="1" s="1"/>
  <c r="L338" i="1"/>
  <c r="M338" i="1" s="1"/>
  <c r="L337" i="1"/>
  <c r="M337" i="1" s="1"/>
  <c r="L342" i="1"/>
  <c r="M342" i="1" s="1"/>
  <c r="L346" i="1"/>
  <c r="M346" i="1" s="1"/>
  <c r="L345" i="1"/>
  <c r="M345" i="1" s="1"/>
  <c r="L370" i="1"/>
  <c r="M370" i="1" s="1"/>
  <c r="L369" i="1"/>
  <c r="M369" i="1" s="1"/>
  <c r="L371" i="1"/>
  <c r="M371" i="1" s="1"/>
  <c r="L374" i="1"/>
  <c r="M374" i="1" s="1"/>
  <c r="L375" i="1"/>
  <c r="M375" i="1" s="1"/>
  <c r="L193" i="1"/>
  <c r="M193" i="1" s="1"/>
  <c r="L192" i="1"/>
  <c r="M192" i="1" s="1"/>
  <c r="L196" i="1"/>
  <c r="M196" i="1" s="1"/>
  <c r="L195" i="1"/>
  <c r="M195" i="1" s="1"/>
  <c r="L205" i="1"/>
  <c r="M205" i="1" s="1"/>
  <c r="L204" i="1"/>
  <c r="M204" i="1" s="1"/>
  <c r="L203" i="1"/>
  <c r="M203" i="1" s="1"/>
  <c r="L202" i="1"/>
  <c r="M202" i="1" s="1"/>
  <c r="L209" i="1"/>
  <c r="M209" i="1" s="1"/>
  <c r="L208" i="1"/>
  <c r="M208" i="1" s="1"/>
  <c r="L217" i="1"/>
  <c r="M217" i="1" s="1"/>
  <c r="L216" i="1"/>
  <c r="M216" i="1" s="1"/>
  <c r="L215" i="1"/>
  <c r="M215" i="1" s="1"/>
  <c r="L214" i="1"/>
  <c r="M214" i="1" s="1"/>
  <c r="L213" i="1"/>
  <c r="M213" i="1" s="1"/>
  <c r="L212" i="1"/>
  <c r="M212" i="1" s="1"/>
  <c r="L223" i="1"/>
  <c r="M223" i="1" s="1"/>
  <c r="L222" i="1"/>
  <c r="M222" i="1" s="1"/>
  <c r="L221" i="1"/>
  <c r="M221" i="1" s="1"/>
  <c r="L230" i="1"/>
  <c r="M230" i="1" s="1"/>
  <c r="L229" i="1"/>
  <c r="M229" i="1" s="1"/>
  <c r="L228" i="1"/>
  <c r="M228" i="1" s="1"/>
  <c r="L248" i="1"/>
  <c r="M248" i="1" s="1"/>
  <c r="L247" i="1"/>
  <c r="M247" i="1" s="1"/>
  <c r="L246" i="1"/>
  <c r="M246" i="1" s="1"/>
  <c r="L245" i="1"/>
  <c r="M245" i="1" s="1"/>
  <c r="L244" i="1"/>
  <c r="M244" i="1" s="1"/>
  <c r="L243" i="1"/>
  <c r="M243" i="1" s="1"/>
  <c r="L263" i="1"/>
  <c r="M263" i="1" s="1"/>
  <c r="L268" i="1"/>
  <c r="M268" i="1" s="1"/>
  <c r="L267" i="1"/>
  <c r="M267" i="1" s="1"/>
  <c r="L270" i="1"/>
  <c r="M270" i="1" s="1"/>
  <c r="L292" i="1"/>
  <c r="M292" i="1" s="1"/>
  <c r="L291" i="1"/>
  <c r="M291" i="1" s="1"/>
  <c r="L290" i="1"/>
  <c r="M290" i="1" s="1"/>
  <c r="L289" i="1"/>
  <c r="M289" i="1" s="1"/>
  <c r="L288" i="1"/>
  <c r="M288" i="1" s="1"/>
  <c r="L298" i="1"/>
  <c r="M298" i="1" s="1"/>
  <c r="L305" i="1"/>
  <c r="M305" i="1" s="1"/>
  <c r="L319" i="1"/>
  <c r="M319" i="1" s="1"/>
  <c r="L318" i="1"/>
  <c r="M318" i="1" s="1"/>
  <c r="L317" i="1"/>
  <c r="M317" i="1" s="1"/>
  <c r="L316" i="1"/>
  <c r="M316" i="1" s="1"/>
  <c r="L336" i="1"/>
  <c r="M336" i="1" s="1"/>
  <c r="L335" i="1"/>
  <c r="M335" i="1" s="1"/>
  <c r="L358" i="1"/>
  <c r="M358" i="1" s="1"/>
  <c r="L357" i="1"/>
  <c r="M357" i="1" s="1"/>
  <c r="L356" i="1"/>
  <c r="M356" i="1" s="1"/>
  <c r="L355" i="1"/>
  <c r="M355" i="1" s="1"/>
  <c r="L368" i="1"/>
  <c r="M368" i="1" s="1"/>
  <c r="L443" i="1"/>
  <c r="M443" i="1" s="1"/>
  <c r="L442" i="1"/>
  <c r="M442" i="1" s="1"/>
  <c r="L451" i="1"/>
  <c r="M451" i="1" s="1"/>
  <c r="L464" i="1"/>
  <c r="M464" i="1" s="1"/>
  <c r="L463" i="1"/>
  <c r="M463" i="1" s="1"/>
  <c r="L462" i="1"/>
  <c r="M462" i="1" s="1"/>
  <c r="L461" i="1"/>
  <c r="M461" i="1" s="1"/>
  <c r="L460" i="1"/>
  <c r="M460" i="1" s="1"/>
  <c r="L459" i="1"/>
  <c r="M459" i="1" s="1"/>
  <c r="L458" i="1"/>
  <c r="M458" i="1" s="1"/>
  <c r="L470" i="1"/>
  <c r="M470" i="1" s="1"/>
  <c r="L482" i="1"/>
  <c r="M482" i="1" s="1"/>
  <c r="L481" i="1"/>
  <c r="M481" i="1" s="1"/>
  <c r="L480" i="1"/>
  <c r="M480" i="1" s="1"/>
  <c r="L479" i="1"/>
  <c r="M479" i="1" s="1"/>
  <c r="L478" i="1"/>
  <c r="M478" i="1" s="1"/>
  <c r="L477" i="1"/>
  <c r="M477" i="1" s="1"/>
  <c r="L476" i="1"/>
  <c r="M476" i="1" s="1"/>
  <c r="L511" i="1"/>
  <c r="M511" i="1" s="1"/>
  <c r="L510" i="1"/>
  <c r="M510" i="1" s="1"/>
  <c r="L509" i="1"/>
  <c r="M509" i="1" s="1"/>
  <c r="L508" i="1"/>
  <c r="M508" i="1" s="1"/>
  <c r="L507" i="1"/>
  <c r="M507" i="1" s="1"/>
  <c r="L506" i="1"/>
  <c r="M506" i="1" s="1"/>
  <c r="L517" i="1"/>
  <c r="M517" i="1" s="1"/>
  <c r="L539" i="1"/>
  <c r="M539" i="1" s="1"/>
  <c r="L825" i="1"/>
  <c r="M825" i="1" s="1"/>
  <c r="L832" i="1"/>
  <c r="M832" i="1" s="1"/>
  <c r="L831" i="1"/>
  <c r="M831" i="1" s="1"/>
  <c r="L847" i="1"/>
  <c r="M847" i="1" s="1"/>
  <c r="L846" i="1"/>
  <c r="M846" i="1" s="1"/>
  <c r="L845" i="1"/>
  <c r="M845" i="1" s="1"/>
  <c r="L844" i="1"/>
  <c r="M844" i="1" s="1"/>
  <c r="L843" i="1"/>
  <c r="M843" i="1" s="1"/>
  <c r="L866" i="1"/>
  <c r="M866" i="1" s="1"/>
  <c r="L885" i="1"/>
  <c r="M885" i="1" s="1"/>
  <c r="L884" i="1"/>
  <c r="M884" i="1" s="1"/>
  <c r="L883" i="1"/>
  <c r="M883" i="1" s="1"/>
  <c r="L902" i="1"/>
  <c r="M902" i="1" s="1"/>
  <c r="L901" i="1"/>
  <c r="M901" i="1" s="1"/>
  <c r="L900" i="1"/>
  <c r="M900" i="1" s="1"/>
  <c r="L899" i="1"/>
  <c r="M899" i="1" s="1"/>
  <c r="L898" i="1"/>
  <c r="M898" i="1" s="1"/>
  <c r="L963" i="1"/>
  <c r="M963" i="1" s="1"/>
  <c r="L962" i="1"/>
  <c r="M962" i="1" s="1"/>
  <c r="L961" i="1"/>
  <c r="M961" i="1" s="1"/>
  <c r="L960" i="1"/>
  <c r="M960" i="1" s="1"/>
  <c r="L959" i="1"/>
  <c r="M959" i="1" s="1"/>
  <c r="L958" i="1"/>
  <c r="M958" i="1" s="1"/>
  <c r="L957" i="1"/>
  <c r="M957" i="1" s="1"/>
  <c r="L242" i="1"/>
  <c r="M242" i="1" s="1"/>
  <c r="L254" i="1"/>
  <c r="M254" i="1" s="1"/>
  <c r="L259" i="1"/>
  <c r="M259" i="1" s="1"/>
  <c r="L258" i="1"/>
  <c r="M258" i="1" s="1"/>
  <c r="L262" i="1"/>
  <c r="M262" i="1" s="1"/>
  <c r="L261" i="1"/>
  <c r="M261" i="1" s="1"/>
  <c r="L266" i="1"/>
  <c r="M266" i="1" s="1"/>
  <c r="L265" i="1"/>
  <c r="M265" i="1" s="1"/>
  <c r="L269" i="1"/>
  <c r="M269" i="1" s="1"/>
  <c r="L281" i="1"/>
  <c r="M281" i="1" s="1"/>
  <c r="L280" i="1"/>
  <c r="M280" i="1" s="1"/>
  <c r="L279" i="1"/>
  <c r="M279" i="1" s="1"/>
  <c r="L287" i="1"/>
  <c r="M287" i="1" s="1"/>
  <c r="L286" i="1"/>
  <c r="M286" i="1" s="1"/>
  <c r="L285" i="1"/>
  <c r="M285" i="1" s="1"/>
  <c r="L297" i="1"/>
  <c r="M297" i="1" s="1"/>
  <c r="L309" i="1"/>
  <c r="M309" i="1" s="1"/>
  <c r="L308" i="1"/>
  <c r="M308" i="1" s="1"/>
  <c r="L307" i="1"/>
  <c r="M307" i="1" s="1"/>
  <c r="L334" i="1"/>
  <c r="M334" i="1" s="1"/>
  <c r="L333" i="1"/>
  <c r="M333" i="1" s="1"/>
  <c r="L332" i="1"/>
  <c r="M332" i="1" s="1"/>
  <c r="L331" i="1"/>
  <c r="M331" i="1" s="1"/>
  <c r="L344" i="1"/>
  <c r="M344" i="1" s="1"/>
  <c r="L354" i="1"/>
  <c r="M354" i="1" s="1"/>
  <c r="L353" i="1"/>
  <c r="M353" i="1" s="1"/>
  <c r="L352" i="1"/>
  <c r="M352" i="1" s="1"/>
  <c r="L351" i="1"/>
  <c r="M351" i="1" s="1"/>
  <c r="L367" i="1"/>
  <c r="M367" i="1" s="1"/>
  <c r="L366" i="1"/>
  <c r="M366" i="1" s="1"/>
  <c r="L379" i="1"/>
  <c r="M379" i="1" s="1"/>
  <c r="L378" i="1"/>
  <c r="M378" i="1" s="1"/>
  <c r="L391" i="1"/>
  <c r="M391" i="1" s="1"/>
  <c r="L390" i="1"/>
  <c r="M390" i="1" s="1"/>
  <c r="L389" i="1"/>
  <c r="M389" i="1" s="1"/>
  <c r="L388" i="1"/>
  <c r="M388" i="1" s="1"/>
  <c r="L398" i="1"/>
  <c r="M398" i="1" s="1"/>
  <c r="L408" i="1"/>
  <c r="M408" i="1" s="1"/>
  <c r="L407" i="1"/>
  <c r="M407" i="1" s="1"/>
  <c r="L406" i="1"/>
  <c r="M406" i="1" s="1"/>
  <c r="L405" i="1"/>
  <c r="M405" i="1" s="1"/>
  <c r="L404" i="1"/>
  <c r="M404" i="1" s="1"/>
  <c r="L403" i="1"/>
  <c r="M403" i="1" s="1"/>
  <c r="L409" i="1"/>
  <c r="M409" i="1" s="1"/>
  <c r="L420" i="1"/>
  <c r="M420" i="1" s="1"/>
  <c r="L419" i="1"/>
  <c r="M419" i="1" s="1"/>
  <c r="L418" i="1"/>
  <c r="M418" i="1" s="1"/>
  <c r="L432" i="1"/>
  <c r="M432" i="1" s="1"/>
  <c r="L431" i="1"/>
  <c r="M431" i="1" s="1"/>
  <c r="L430" i="1"/>
  <c r="M430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61" i="1"/>
  <c r="M161" i="1" s="1"/>
  <c r="L160" i="1"/>
  <c r="M160" i="1" s="1"/>
  <c r="L159" i="1"/>
  <c r="M159" i="1" s="1"/>
  <c r="L158" i="1"/>
  <c r="M158" i="1" s="1"/>
  <c r="L157" i="1"/>
  <c r="M157" i="1" s="1"/>
  <c r="L156" i="1"/>
  <c r="M156" i="1" s="1"/>
  <c r="L155" i="1"/>
  <c r="M155" i="1" s="1"/>
  <c r="L164" i="1"/>
  <c r="M164" i="1" s="1"/>
  <c r="L163" i="1"/>
  <c r="M163" i="1" s="1"/>
  <c r="L162" i="1"/>
  <c r="M162" i="1" s="1"/>
  <c r="L175" i="1"/>
  <c r="M175" i="1" s="1"/>
  <c r="L174" i="1"/>
  <c r="M174" i="1" s="1"/>
  <c r="L173" i="1"/>
  <c r="M173" i="1" s="1"/>
  <c r="L172" i="1"/>
  <c r="M172" i="1" s="1"/>
  <c r="L180" i="1"/>
  <c r="M180" i="1" s="1"/>
  <c r="L179" i="1"/>
  <c r="M179" i="1" s="1"/>
  <c r="L178" i="1"/>
  <c r="M178" i="1" s="1"/>
  <c r="L177" i="1"/>
  <c r="M177" i="1" s="1"/>
  <c r="L176" i="1"/>
  <c r="M176" i="1" s="1"/>
  <c r="L181" i="1"/>
  <c r="M181" i="1" s="1"/>
  <c r="L191" i="1"/>
  <c r="M191" i="1" s="1"/>
  <c r="L190" i="1"/>
  <c r="M190" i="1" s="1"/>
  <c r="L189" i="1"/>
  <c r="M189" i="1" s="1"/>
  <c r="L188" i="1"/>
  <c r="M188" i="1" s="1"/>
  <c r="L187" i="1"/>
  <c r="M187" i="1" s="1"/>
  <c r="L186" i="1"/>
  <c r="M186" i="1" s="1"/>
  <c r="L185" i="1"/>
  <c r="M185" i="1" s="1"/>
  <c r="L184" i="1"/>
  <c r="M184" i="1" s="1"/>
  <c r="L183" i="1"/>
  <c r="M183" i="1" s="1"/>
  <c r="L182" i="1"/>
  <c r="M182" i="1" s="1"/>
  <c r="L201" i="1"/>
  <c r="M201" i="1" s="1"/>
  <c r="L207" i="1"/>
  <c r="M207" i="1" s="1"/>
  <c r="L206" i="1"/>
  <c r="M206" i="1" s="1"/>
  <c r="L210" i="1"/>
  <c r="M210" i="1" s="1"/>
  <c r="L227" i="1"/>
  <c r="M227" i="1" s="1"/>
  <c r="L226" i="1"/>
  <c r="M226" i="1" s="1"/>
  <c r="L225" i="1"/>
  <c r="M225" i="1" s="1"/>
  <c r="L235" i="1"/>
  <c r="M235" i="1" s="1"/>
  <c r="L241" i="1"/>
  <c r="M241" i="1" s="1"/>
  <c r="L253" i="1"/>
  <c r="M253" i="1" s="1"/>
  <c r="L260" i="1"/>
  <c r="M260" i="1" s="1"/>
  <c r="L264" i="1"/>
  <c r="M264" i="1" s="1"/>
  <c r="L296" i="1"/>
  <c r="M296" i="1" s="1"/>
  <c r="L315" i="1"/>
  <c r="M315" i="1" s="1"/>
  <c r="L659" i="1"/>
  <c r="M659" i="1" s="1"/>
  <c r="L660" i="1"/>
  <c r="M660" i="1" s="1"/>
  <c r="L670" i="1"/>
  <c r="M670" i="1" s="1"/>
  <c r="L669" i="1"/>
  <c r="M669" i="1" s="1"/>
  <c r="L668" i="1"/>
  <c r="M668" i="1" s="1"/>
  <c r="L681" i="1"/>
  <c r="M681" i="1" s="1"/>
  <c r="L680" i="1"/>
  <c r="M680" i="1" s="1"/>
  <c r="L682" i="1"/>
  <c r="M682" i="1" s="1"/>
  <c r="L687" i="1"/>
  <c r="M687" i="1" s="1"/>
  <c r="L696" i="1"/>
  <c r="M696" i="1" s="1"/>
  <c r="L695" i="1"/>
  <c r="M695" i="1" s="1"/>
  <c r="L694" i="1"/>
  <c r="M694" i="1" s="1"/>
  <c r="L698" i="1"/>
  <c r="M698" i="1" s="1"/>
  <c r="L709" i="1"/>
  <c r="M709" i="1" s="1"/>
  <c r="L708" i="1"/>
  <c r="M708" i="1" s="1"/>
  <c r="L723" i="1"/>
  <c r="M723" i="1" s="1"/>
  <c r="L722" i="1"/>
  <c r="M722" i="1" s="1"/>
  <c r="L721" i="1"/>
  <c r="M721" i="1" s="1"/>
  <c r="L726" i="1"/>
  <c r="M726" i="1" s="1"/>
  <c r="L745" i="1"/>
  <c r="M745" i="1" s="1"/>
  <c r="L744" i="1"/>
  <c r="M744" i="1" s="1"/>
  <c r="L743" i="1"/>
  <c r="M743" i="1" s="1"/>
  <c r="L766" i="1"/>
  <c r="M766" i="1" s="1"/>
  <c r="L765" i="1"/>
  <c r="M765" i="1" s="1"/>
  <c r="L764" i="1"/>
  <c r="M764" i="1" s="1"/>
  <c r="L799" i="1"/>
  <c r="M799" i="1" s="1"/>
  <c r="L798" i="1"/>
  <c r="M798" i="1" s="1"/>
  <c r="L797" i="1"/>
  <c r="M797" i="1" s="1"/>
  <c r="L820" i="1"/>
  <c r="M820" i="1" s="1"/>
  <c r="L819" i="1"/>
  <c r="M819" i="1" s="1"/>
  <c r="L818" i="1"/>
  <c r="M818" i="1" s="1"/>
  <c r="L842" i="1"/>
  <c r="M842" i="1" s="1"/>
  <c r="L841" i="1"/>
  <c r="M841" i="1" s="1"/>
  <c r="L840" i="1"/>
  <c r="M840" i="1" s="1"/>
  <c r="L860" i="1"/>
  <c r="M860" i="1" s="1"/>
  <c r="L859" i="1"/>
  <c r="M859" i="1" s="1"/>
  <c r="L865" i="1"/>
  <c r="M865" i="1" s="1"/>
  <c r="L897" i="1"/>
  <c r="M897" i="1" s="1"/>
  <c r="L896" i="1"/>
  <c r="M896" i="1" s="1"/>
  <c r="L895" i="1"/>
  <c r="M895" i="1" s="1"/>
  <c r="L919" i="1"/>
  <c r="M919" i="1" s="1"/>
  <c r="L918" i="1"/>
  <c r="M918" i="1" s="1"/>
  <c r="L917" i="1"/>
  <c r="M917" i="1" s="1"/>
  <c r="L948" i="1"/>
  <c r="M948" i="1" s="1"/>
  <c r="L956" i="1"/>
  <c r="M956" i="1" s="1"/>
  <c r="L955" i="1"/>
  <c r="M955" i="1" s="1"/>
  <c r="L989" i="1"/>
  <c r="M989" i="1" s="1"/>
  <c r="L988" i="1"/>
  <c r="M988" i="1" s="1"/>
  <c r="L987" i="1"/>
  <c r="M987" i="1" s="1"/>
  <c r="L720" i="1"/>
  <c r="M720" i="1" s="1"/>
  <c r="L725" i="1"/>
  <c r="M725" i="1" s="1"/>
  <c r="L737" i="1"/>
  <c r="M737" i="1" s="1"/>
  <c r="L742" i="1"/>
  <c r="M742" i="1" s="1"/>
  <c r="L741" i="1"/>
  <c r="M741" i="1" s="1"/>
  <c r="L740" i="1"/>
  <c r="M740" i="1" s="1"/>
  <c r="L763" i="1"/>
  <c r="M763" i="1" s="1"/>
  <c r="L762" i="1"/>
  <c r="M762" i="1" s="1"/>
  <c r="L761" i="1"/>
  <c r="M761" i="1" s="1"/>
  <c r="L760" i="1"/>
  <c r="M760" i="1" s="1"/>
  <c r="L778" i="1"/>
  <c r="M778" i="1" s="1"/>
  <c r="L777" i="1"/>
  <c r="M777" i="1" s="1"/>
  <c r="L782" i="1"/>
  <c r="M782" i="1" s="1"/>
  <c r="L781" i="1"/>
  <c r="M781" i="1" s="1"/>
  <c r="L780" i="1"/>
  <c r="M780" i="1" s="1"/>
  <c r="L779" i="1"/>
  <c r="M779" i="1" s="1"/>
  <c r="L784" i="1"/>
  <c r="M784" i="1" s="1"/>
  <c r="L796" i="1"/>
  <c r="M796" i="1" s="1"/>
  <c r="L795" i="1"/>
  <c r="M795" i="1" s="1"/>
  <c r="L817" i="1"/>
  <c r="M817" i="1" s="1"/>
  <c r="L816" i="1"/>
  <c r="M816" i="1" s="1"/>
  <c r="L815" i="1"/>
  <c r="M815" i="1" s="1"/>
  <c r="L814" i="1"/>
  <c r="M814" i="1" s="1"/>
  <c r="L822" i="1"/>
  <c r="M822" i="1" s="1"/>
  <c r="L824" i="1"/>
  <c r="M824" i="1" s="1"/>
  <c r="L827" i="1"/>
  <c r="M827" i="1" s="1"/>
  <c r="L826" i="1"/>
  <c r="M826" i="1" s="1"/>
  <c r="L830" i="1"/>
  <c r="M830" i="1" s="1"/>
  <c r="L839" i="1"/>
  <c r="M839" i="1" s="1"/>
  <c r="L881" i="1"/>
  <c r="M881" i="1" s="1"/>
  <c r="L882" i="1"/>
  <c r="M882" i="1" s="1"/>
  <c r="L894" i="1"/>
  <c r="M894" i="1" s="1"/>
  <c r="L893" i="1"/>
  <c r="M893" i="1" s="1"/>
  <c r="L892" i="1"/>
  <c r="M892" i="1" s="1"/>
  <c r="L916" i="1"/>
  <c r="M916" i="1" s="1"/>
  <c r="L915" i="1"/>
  <c r="M915" i="1" s="1"/>
  <c r="L914" i="1"/>
  <c r="M914" i="1" s="1"/>
  <c r="L913" i="1"/>
  <c r="M913" i="1" s="1"/>
  <c r="L942" i="1"/>
  <c r="M942" i="1" s="1"/>
  <c r="L945" i="1"/>
  <c r="M945" i="1" s="1"/>
  <c r="L944" i="1"/>
  <c r="M944" i="1" s="1"/>
  <c r="L943" i="1"/>
  <c r="M943" i="1" s="1"/>
  <c r="L947" i="1"/>
  <c r="M947" i="1" s="1"/>
  <c r="L954" i="1"/>
  <c r="M954" i="1" s="1"/>
  <c r="L953" i="1"/>
  <c r="M953" i="1" s="1"/>
  <c r="L986" i="1"/>
  <c r="M986" i="1" s="1"/>
  <c r="L985" i="1"/>
  <c r="M985" i="1" s="1"/>
  <c r="L984" i="1"/>
  <c r="M984" i="1" s="1"/>
  <c r="L983" i="1"/>
  <c r="M983" i="1" s="1"/>
  <c r="L982" i="1"/>
  <c r="M982" i="1" s="1"/>
  <c r="L651" i="1"/>
  <c r="M651" i="1" s="1"/>
  <c r="L653" i="1"/>
  <c r="M653" i="1" s="1"/>
  <c r="L652" i="1"/>
  <c r="M652" i="1" s="1"/>
  <c r="L658" i="1"/>
  <c r="M658" i="1" s="1"/>
  <c r="L657" i="1"/>
  <c r="M657" i="1" s="1"/>
  <c r="L656" i="1"/>
  <c r="M656" i="1" s="1"/>
  <c r="L655" i="1"/>
  <c r="M655" i="1" s="1"/>
  <c r="L654" i="1"/>
  <c r="M654" i="1" s="1"/>
  <c r="L667" i="1"/>
  <c r="M667" i="1" s="1"/>
  <c r="L679" i="1"/>
  <c r="M679" i="1" s="1"/>
  <c r="L678" i="1"/>
  <c r="M678" i="1" s="1"/>
  <c r="L677" i="1"/>
  <c r="M677" i="1" s="1"/>
  <c r="L676" i="1"/>
  <c r="M676" i="1" s="1"/>
  <c r="L675" i="1"/>
  <c r="M675" i="1" s="1"/>
  <c r="L674" i="1"/>
  <c r="M674" i="1" s="1"/>
  <c r="L719" i="1"/>
  <c r="M719" i="1" s="1"/>
  <c r="L718" i="1"/>
  <c r="M718" i="1" s="1"/>
  <c r="L717" i="1"/>
  <c r="M717" i="1" s="1"/>
  <c r="L716" i="1"/>
  <c r="M716" i="1" s="1"/>
  <c r="L715" i="1"/>
  <c r="M715" i="1" s="1"/>
  <c r="L714" i="1"/>
  <c r="M714" i="1" s="1"/>
  <c r="L713" i="1"/>
  <c r="M713" i="1" s="1"/>
  <c r="L759" i="1"/>
  <c r="M759" i="1" s="1"/>
  <c r="L758" i="1"/>
  <c r="M758" i="1" s="1"/>
  <c r="L757" i="1"/>
  <c r="M757" i="1" s="1"/>
  <c r="L756" i="1"/>
  <c r="M756" i="1" s="1"/>
  <c r="L755" i="1"/>
  <c r="M755" i="1" s="1"/>
  <c r="L754" i="1"/>
  <c r="M754" i="1" s="1"/>
  <c r="L753" i="1"/>
  <c r="M753" i="1" s="1"/>
  <c r="L794" i="1"/>
  <c r="M794" i="1" s="1"/>
  <c r="L793" i="1"/>
  <c r="M793" i="1" s="1"/>
  <c r="L792" i="1"/>
  <c r="M792" i="1" s="1"/>
  <c r="L813" i="1"/>
  <c r="M813" i="1" s="1"/>
  <c r="L812" i="1"/>
  <c r="M812" i="1" s="1"/>
  <c r="L811" i="1"/>
  <c r="M811" i="1" s="1"/>
  <c r="L810" i="1"/>
  <c r="M810" i="1" s="1"/>
  <c r="L891" i="1"/>
  <c r="M891" i="1" s="1"/>
  <c r="L890" i="1"/>
  <c r="M890" i="1" s="1"/>
  <c r="L889" i="1"/>
  <c r="M889" i="1" s="1"/>
  <c r="L912" i="1"/>
  <c r="M912" i="1" s="1"/>
  <c r="L911" i="1"/>
  <c r="M911" i="1" s="1"/>
  <c r="L910" i="1"/>
  <c r="M910" i="1" s="1"/>
  <c r="L909" i="1"/>
  <c r="M909" i="1" s="1"/>
  <c r="L952" i="1"/>
  <c r="M952" i="1" s="1"/>
  <c r="L951" i="1"/>
  <c r="M951" i="1" s="1"/>
  <c r="L950" i="1"/>
  <c r="M950" i="1" s="1"/>
  <c r="L981" i="1"/>
  <c r="M981" i="1" s="1"/>
  <c r="L980" i="1"/>
  <c r="M980" i="1" s="1"/>
  <c r="L979" i="1"/>
  <c r="M979" i="1" s="1"/>
  <c r="L978" i="1"/>
  <c r="M978" i="1" s="1"/>
  <c r="L36" i="1"/>
  <c r="M36" i="1" s="1"/>
  <c r="L39" i="1"/>
  <c r="M39" i="1" s="1"/>
  <c r="L38" i="1"/>
  <c r="M38" i="1" s="1"/>
  <c r="L37" i="1"/>
  <c r="M37" i="1" s="1"/>
  <c r="L42" i="1"/>
  <c r="M42" i="1" s="1"/>
  <c r="L41" i="1"/>
  <c r="M41" i="1" s="1"/>
  <c r="L40" i="1"/>
  <c r="M40" i="1" s="1"/>
  <c r="L43" i="1"/>
  <c r="M43" i="1" s="1"/>
  <c r="L45" i="1"/>
  <c r="M45" i="1" s="1"/>
  <c r="L50" i="1"/>
  <c r="M50" i="1" s="1"/>
  <c r="L49" i="1"/>
  <c r="M49" i="1" s="1"/>
  <c r="L48" i="1"/>
  <c r="M48" i="1" s="1"/>
  <c r="L54" i="1"/>
  <c r="M54" i="1" s="1"/>
  <c r="L53" i="1"/>
  <c r="M53" i="1" s="1"/>
  <c r="L52" i="1"/>
  <c r="M52" i="1" s="1"/>
  <c r="L55" i="1"/>
  <c r="M55" i="1" s="1"/>
  <c r="L67" i="1"/>
  <c r="M67" i="1" s="1"/>
  <c r="L66" i="1"/>
  <c r="M66" i="1" s="1"/>
  <c r="L69" i="1"/>
  <c r="M69" i="1" s="1"/>
  <c r="L68" i="1"/>
  <c r="M68" i="1" s="1"/>
  <c r="L71" i="1"/>
  <c r="M71" i="1" s="1"/>
  <c r="L70" i="1"/>
  <c r="M70" i="1" s="1"/>
  <c r="L73" i="1"/>
  <c r="M73" i="1" s="1"/>
  <c r="L72" i="1"/>
  <c r="M72" i="1" s="1"/>
  <c r="L74" i="1"/>
  <c r="M74" i="1" s="1"/>
  <c r="L77" i="1"/>
  <c r="M77" i="1" s="1"/>
  <c r="L76" i="1"/>
  <c r="M76" i="1" s="1"/>
  <c r="L75" i="1"/>
  <c r="M75" i="1" s="1"/>
  <c r="L79" i="1"/>
  <c r="M79" i="1" s="1"/>
  <c r="L78" i="1"/>
  <c r="M78" i="1" s="1"/>
  <c r="L81" i="1"/>
  <c r="M81" i="1" s="1"/>
  <c r="L80" i="1"/>
  <c r="M80" i="1" s="1"/>
  <c r="L83" i="1"/>
  <c r="M83" i="1" s="1"/>
  <c r="L82" i="1"/>
  <c r="M82" i="1" s="1"/>
  <c r="L87" i="1"/>
  <c r="M87" i="1" s="1"/>
  <c r="L86" i="1"/>
  <c r="M86" i="1" s="1"/>
  <c r="L85" i="1"/>
  <c r="M85" i="1" s="1"/>
  <c r="L84" i="1"/>
  <c r="M84" i="1" s="1"/>
  <c r="L89" i="1"/>
  <c r="M89" i="1" s="1"/>
  <c r="L88" i="1"/>
  <c r="M88" i="1" s="1"/>
  <c r="L91" i="1"/>
  <c r="M91" i="1" s="1"/>
  <c r="L90" i="1"/>
  <c r="M90" i="1" s="1"/>
  <c r="L94" i="1"/>
  <c r="M94" i="1" s="1"/>
  <c r="L93" i="1"/>
  <c r="M93" i="1" s="1"/>
  <c r="L92" i="1"/>
  <c r="M92" i="1" s="1"/>
  <c r="L97" i="1"/>
  <c r="M97" i="1" s="1"/>
  <c r="L96" i="1"/>
  <c r="M96" i="1" s="1"/>
  <c r="L95" i="1"/>
  <c r="M95" i="1" s="1"/>
  <c r="L99" i="1"/>
  <c r="M99" i="1" s="1"/>
  <c r="L98" i="1"/>
  <c r="M98" i="1" s="1"/>
  <c r="L240" i="1"/>
  <c r="M240" i="1" s="1"/>
  <c r="L252" i="1"/>
  <c r="M252" i="1" s="1"/>
  <c r="L251" i="1"/>
  <c r="M251" i="1" s="1"/>
  <c r="L250" i="1"/>
  <c r="M250" i="1" s="1"/>
  <c r="L284" i="1"/>
  <c r="M284" i="1" s="1"/>
  <c r="L283" i="1"/>
  <c r="M283" i="1" s="1"/>
  <c r="L282" i="1"/>
  <c r="M282" i="1" s="1"/>
  <c r="L295" i="1"/>
  <c r="M295" i="1" s="1"/>
  <c r="L294" i="1"/>
  <c r="M294" i="1" s="1"/>
  <c r="L293" i="1"/>
  <c r="M293" i="1" s="1"/>
  <c r="L314" i="1"/>
  <c r="M314" i="1" s="1"/>
  <c r="L313" i="1"/>
  <c r="M313" i="1" s="1"/>
  <c r="L312" i="1"/>
  <c r="M312" i="1" s="1"/>
  <c r="L330" i="1"/>
  <c r="M330" i="1" s="1"/>
  <c r="L329" i="1"/>
  <c r="M329" i="1" s="1"/>
  <c r="L328" i="1"/>
  <c r="M328" i="1" s="1"/>
  <c r="L350" i="1"/>
  <c r="M350" i="1" s="1"/>
  <c r="L349" i="1"/>
  <c r="M349" i="1" s="1"/>
  <c r="L348" i="1"/>
  <c r="M348" i="1" s="1"/>
  <c r="L365" i="1"/>
  <c r="M365" i="1" s="1"/>
  <c r="L364" i="1"/>
  <c r="M364" i="1" s="1"/>
  <c r="L363" i="1"/>
  <c r="M363" i="1" s="1"/>
  <c r="L387" i="1"/>
  <c r="M387" i="1" s="1"/>
  <c r="L386" i="1"/>
  <c r="M386" i="1" s="1"/>
  <c r="L385" i="1"/>
  <c r="M385" i="1" s="1"/>
  <c r="L397" i="1"/>
  <c r="M397" i="1" s="1"/>
  <c r="L396" i="1"/>
  <c r="M396" i="1" s="1"/>
  <c r="L395" i="1"/>
  <c r="M395" i="1" s="1"/>
  <c r="L417" i="1"/>
  <c r="M417" i="1" s="1"/>
  <c r="L416" i="1"/>
  <c r="M416" i="1" s="1"/>
  <c r="L415" i="1"/>
  <c r="M415" i="1" s="1"/>
  <c r="L429" i="1"/>
  <c r="M429" i="1" s="1"/>
  <c r="L428" i="1"/>
  <c r="M428" i="1" s="1"/>
  <c r="L427" i="1"/>
  <c r="M427" i="1" s="1"/>
  <c r="L441" i="1"/>
  <c r="M441" i="1" s="1"/>
  <c r="L440" i="1"/>
  <c r="M440" i="1" s="1"/>
  <c r="L439" i="1"/>
  <c r="M439" i="1" s="1"/>
  <c r="L449" i="1"/>
  <c r="M449" i="1" s="1"/>
  <c r="L448" i="1"/>
  <c r="M448" i="1" s="1"/>
  <c r="L447" i="1"/>
  <c r="M447" i="1" s="1"/>
  <c r="L457" i="1"/>
  <c r="M457" i="1" s="1"/>
  <c r="L456" i="1"/>
  <c r="M456" i="1" s="1"/>
  <c r="L455" i="1"/>
  <c r="M455" i="1" s="1"/>
  <c r="L468" i="1"/>
  <c r="M468" i="1" s="1"/>
  <c r="L467" i="1"/>
  <c r="M467" i="1" s="1"/>
  <c r="L466" i="1"/>
  <c r="M466" i="1" s="1"/>
  <c r="L475" i="1"/>
  <c r="M475" i="1" s="1"/>
  <c r="L474" i="1"/>
  <c r="M474" i="1" s="1"/>
  <c r="L473" i="1"/>
  <c r="M473" i="1" s="1"/>
  <c r="L485" i="1"/>
  <c r="M485" i="1" s="1"/>
  <c r="L450" i="1"/>
  <c r="M450" i="1" s="1"/>
  <c r="L454" i="1"/>
  <c r="M454" i="1" s="1"/>
  <c r="L453" i="1"/>
  <c r="M453" i="1" s="1"/>
  <c r="L452" i="1"/>
  <c r="M452" i="1" s="1"/>
  <c r="L465" i="1"/>
  <c r="M465" i="1" s="1"/>
  <c r="L469" i="1"/>
  <c r="M469" i="1" s="1"/>
  <c r="L472" i="1"/>
  <c r="M472" i="1" s="1"/>
  <c r="L471" i="1"/>
  <c r="M471" i="1" s="1"/>
  <c r="L484" i="1"/>
  <c r="M484" i="1" s="1"/>
  <c r="L483" i="1"/>
  <c r="M483" i="1" s="1"/>
  <c r="L513" i="1"/>
  <c r="M513" i="1" s="1"/>
  <c r="L516" i="1"/>
  <c r="M516" i="1" s="1"/>
  <c r="L515" i="1"/>
  <c r="M515" i="1" s="1"/>
  <c r="L519" i="1"/>
  <c r="M519" i="1" s="1"/>
  <c r="L518" i="1"/>
  <c r="M518" i="1" s="1"/>
  <c r="L521" i="1"/>
  <c r="M521" i="1" s="1"/>
  <c r="L523" i="1"/>
  <c r="M523" i="1" s="1"/>
  <c r="L522" i="1"/>
  <c r="M522" i="1" s="1"/>
  <c r="L527" i="1"/>
  <c r="M527" i="1" s="1"/>
  <c r="L526" i="1"/>
  <c r="M526" i="1" s="1"/>
  <c r="L544" i="1"/>
  <c r="M544" i="1" s="1"/>
  <c r="L549" i="1"/>
  <c r="M549" i="1" s="1"/>
  <c r="L548" i="1"/>
  <c r="M548" i="1" s="1"/>
  <c r="L547" i="1"/>
  <c r="M547" i="1" s="1"/>
  <c r="L552" i="1"/>
  <c r="M552" i="1" s="1"/>
  <c r="L555" i="1"/>
  <c r="M555" i="1" s="1"/>
  <c r="L560" i="1"/>
  <c r="M560" i="1" s="1"/>
  <c r="L559" i="1"/>
  <c r="M559" i="1" s="1"/>
  <c r="L577" i="1"/>
  <c r="M577" i="1" s="1"/>
  <c r="L576" i="1"/>
  <c r="M576" i="1" s="1"/>
  <c r="L582" i="1"/>
  <c r="M582" i="1" s="1"/>
  <c r="L585" i="1"/>
  <c r="M585" i="1" s="1"/>
  <c r="L584" i="1"/>
  <c r="M584" i="1" s="1"/>
  <c r="L599" i="1"/>
  <c r="M599" i="1" s="1"/>
  <c r="L601" i="1"/>
  <c r="M601" i="1" s="1"/>
  <c r="L614" i="1"/>
  <c r="M614" i="1" s="1"/>
  <c r="L615" i="1"/>
  <c r="M615" i="1" s="1"/>
  <c r="L628" i="1"/>
  <c r="M628" i="1" s="1"/>
  <c r="L629" i="1"/>
  <c r="M629" i="1" s="1"/>
  <c r="L630" i="1"/>
  <c r="M630" i="1" s="1"/>
  <c r="L633" i="1"/>
  <c r="M633" i="1" s="1"/>
  <c r="L634" i="1"/>
  <c r="M634" i="1" s="1"/>
  <c r="L636" i="1"/>
  <c r="M636" i="1" s="1"/>
  <c r="L635" i="1"/>
  <c r="M635" i="1" s="1"/>
  <c r="L638" i="1"/>
  <c r="M638" i="1" s="1"/>
  <c r="L637" i="1"/>
  <c r="M637" i="1" s="1"/>
  <c r="L639" i="1"/>
  <c r="M639" i="1" s="1"/>
  <c r="L648" i="1"/>
  <c r="M648" i="1" s="1"/>
  <c r="L647" i="1"/>
  <c r="M647" i="1" s="1"/>
  <c r="L650" i="1"/>
  <c r="M650" i="1" s="1"/>
  <c r="L701" i="1"/>
  <c r="M701" i="1" s="1"/>
  <c r="L734" i="1"/>
  <c r="M734" i="1" s="1"/>
  <c r="L733" i="1"/>
  <c r="M733" i="1" s="1"/>
  <c r="L732" i="1"/>
  <c r="M732" i="1" s="1"/>
  <c r="L731" i="1"/>
  <c r="M731" i="1" s="1"/>
  <c r="L730" i="1"/>
  <c r="M730" i="1" s="1"/>
  <c r="L729" i="1"/>
  <c r="M729" i="1" s="1"/>
  <c r="L728" i="1"/>
  <c r="M728" i="1" s="1"/>
  <c r="L727" i="1"/>
  <c r="M727" i="1" s="1"/>
  <c r="L775" i="1"/>
  <c r="M775" i="1" s="1"/>
  <c r="L774" i="1"/>
  <c r="M774" i="1" s="1"/>
  <c r="L773" i="1"/>
  <c r="M773" i="1" s="1"/>
  <c r="L772" i="1"/>
  <c r="M772" i="1" s="1"/>
  <c r="L771" i="1"/>
  <c r="M771" i="1" s="1"/>
  <c r="L770" i="1"/>
  <c r="M770" i="1" s="1"/>
  <c r="L769" i="1"/>
  <c r="M769" i="1" s="1"/>
  <c r="L768" i="1"/>
  <c r="M768" i="1" s="1"/>
  <c r="L864" i="1"/>
  <c r="M864" i="1" s="1"/>
  <c r="L863" i="1"/>
  <c r="M863" i="1" s="1"/>
  <c r="L862" i="1"/>
  <c r="M862" i="1" s="1"/>
  <c r="L861" i="1"/>
  <c r="M861" i="1" s="1"/>
  <c r="L875" i="1"/>
  <c r="M875" i="1" s="1"/>
  <c r="L874" i="1"/>
  <c r="M874" i="1" s="1"/>
  <c r="L873" i="1"/>
  <c r="M873" i="1" s="1"/>
  <c r="L872" i="1"/>
  <c r="M872" i="1" s="1"/>
  <c r="L871" i="1"/>
  <c r="M871" i="1" s="1"/>
  <c r="L870" i="1"/>
  <c r="M870" i="1" s="1"/>
  <c r="L869" i="1"/>
  <c r="M869" i="1" s="1"/>
  <c r="L868" i="1"/>
  <c r="M868" i="1" s="1"/>
  <c r="L880" i="1"/>
  <c r="M880" i="1" s="1"/>
  <c r="L879" i="1"/>
  <c r="M879" i="1" s="1"/>
  <c r="L878" i="1"/>
  <c r="M878" i="1" s="1"/>
  <c r="L877" i="1"/>
  <c r="M877" i="1" s="1"/>
  <c r="L927" i="1"/>
  <c r="M927" i="1" s="1"/>
  <c r="L926" i="1"/>
  <c r="M926" i="1" s="1"/>
  <c r="L925" i="1"/>
  <c r="M925" i="1" s="1"/>
  <c r="L924" i="1"/>
  <c r="M924" i="1" s="1"/>
  <c r="L936" i="1"/>
  <c r="M936" i="1" s="1"/>
  <c r="L935" i="1"/>
  <c r="M935" i="1" s="1"/>
  <c r="L934" i="1"/>
  <c r="M934" i="1" s="1"/>
  <c r="L933" i="1"/>
  <c r="M933" i="1" s="1"/>
  <c r="L932" i="1"/>
  <c r="M932" i="1" s="1"/>
  <c r="L931" i="1"/>
  <c r="M931" i="1" s="1"/>
  <c r="L930" i="1"/>
  <c r="M930" i="1" s="1"/>
  <c r="L929" i="1"/>
  <c r="M929" i="1" s="1"/>
  <c r="L941" i="1"/>
  <c r="M941" i="1" s="1"/>
  <c r="L940" i="1"/>
  <c r="M940" i="1" s="1"/>
  <c r="L939" i="1"/>
  <c r="M939" i="1" s="1"/>
  <c r="L938" i="1"/>
  <c r="M938" i="1" s="1"/>
  <c r="L327" i="1"/>
  <c r="M327" i="1" s="1"/>
  <c r="L326" i="1"/>
  <c r="M326" i="1" s="1"/>
  <c r="L325" i="1"/>
  <c r="M325" i="1" s="1"/>
  <c r="L324" i="1"/>
  <c r="M324" i="1" s="1"/>
  <c r="L323" i="1"/>
  <c r="M323" i="1" s="1"/>
  <c r="L322" i="1"/>
  <c r="M322" i="1" s="1"/>
  <c r="L341" i="1"/>
  <c r="M341" i="1" s="1"/>
  <c r="L340" i="1"/>
  <c r="M340" i="1" s="1"/>
  <c r="L339" i="1"/>
  <c r="M339" i="1" s="1"/>
  <c r="L343" i="1"/>
  <c r="M343" i="1" s="1"/>
  <c r="L347" i="1"/>
  <c r="M347" i="1" s="1"/>
  <c r="L362" i="1"/>
  <c r="M362" i="1" s="1"/>
  <c r="L361" i="1"/>
  <c r="M361" i="1" s="1"/>
  <c r="L360" i="1"/>
  <c r="M360" i="1" s="1"/>
  <c r="L359" i="1"/>
  <c r="M359" i="1" s="1"/>
  <c r="L373" i="1"/>
  <c r="M373" i="1" s="1"/>
  <c r="L372" i="1"/>
  <c r="M372" i="1" s="1"/>
  <c r="L376" i="1"/>
  <c r="M376" i="1" s="1"/>
  <c r="L377" i="1"/>
  <c r="M377" i="1" s="1"/>
  <c r="L384" i="1"/>
  <c r="M384" i="1" s="1"/>
  <c r="L383" i="1"/>
  <c r="M383" i="1" s="1"/>
  <c r="L382" i="1"/>
  <c r="M382" i="1" s="1"/>
  <c r="L381" i="1"/>
  <c r="M381" i="1" s="1"/>
  <c r="L380" i="1"/>
  <c r="M380" i="1" s="1"/>
  <c r="L394" i="1"/>
  <c r="M394" i="1" s="1"/>
  <c r="L393" i="1"/>
  <c r="M393" i="1" s="1"/>
  <c r="L392" i="1"/>
  <c r="M392" i="1" s="1"/>
  <c r="L399" i="1"/>
  <c r="M399" i="1" s="1"/>
  <c r="L402" i="1"/>
  <c r="M402" i="1" s="1"/>
  <c r="L401" i="1"/>
  <c r="M401" i="1" s="1"/>
  <c r="L400" i="1"/>
  <c r="M400" i="1" s="1"/>
  <c r="L411" i="1"/>
  <c r="M411" i="1" s="1"/>
  <c r="L410" i="1"/>
  <c r="M410" i="1" s="1"/>
  <c r="L414" i="1"/>
  <c r="M414" i="1" s="1"/>
  <c r="L413" i="1"/>
  <c r="M413" i="1" s="1"/>
  <c r="L412" i="1"/>
  <c r="M412" i="1" s="1"/>
  <c r="L426" i="1"/>
  <c r="M426" i="1" s="1"/>
  <c r="L425" i="1"/>
  <c r="M425" i="1" s="1"/>
  <c r="L424" i="1"/>
  <c r="M424" i="1" s="1"/>
  <c r="L423" i="1"/>
  <c r="M423" i="1" s="1"/>
  <c r="L422" i="1"/>
  <c r="M422" i="1" s="1"/>
  <c r="L421" i="1"/>
  <c r="M421" i="1" s="1"/>
  <c r="L433" i="1"/>
  <c r="M433" i="1" s="1"/>
  <c r="L438" i="1"/>
  <c r="M438" i="1" s="1"/>
  <c r="L437" i="1"/>
  <c r="M437" i="1" s="1"/>
  <c r="L436" i="1"/>
  <c r="M436" i="1" s="1"/>
  <c r="L435" i="1"/>
  <c r="M435" i="1" s="1"/>
  <c r="L446" i="1"/>
  <c r="M446" i="1" s="1"/>
  <c r="L445" i="1"/>
  <c r="M445" i="1" s="1"/>
  <c r="L444" i="1"/>
  <c r="M444" i="1" s="1"/>
  <c r="L752" i="1"/>
  <c r="M752" i="1" s="1"/>
  <c r="L767" i="1"/>
  <c r="M767" i="1" s="1"/>
  <c r="L776" i="1"/>
  <c r="M776" i="1" s="1"/>
  <c r="L791" i="1"/>
  <c r="M791" i="1" s="1"/>
  <c r="L790" i="1"/>
  <c r="M790" i="1" s="1"/>
  <c r="L789" i="1"/>
  <c r="M789" i="1" s="1"/>
  <c r="L788" i="1"/>
  <c r="M788" i="1" s="1"/>
  <c r="L787" i="1"/>
  <c r="M787" i="1" s="1"/>
  <c r="L786" i="1"/>
  <c r="M786" i="1" s="1"/>
  <c r="L809" i="1"/>
  <c r="M809" i="1" s="1"/>
  <c r="L808" i="1"/>
  <c r="M808" i="1" s="1"/>
  <c r="L807" i="1"/>
  <c r="M807" i="1" s="1"/>
  <c r="L806" i="1"/>
  <c r="M806" i="1" s="1"/>
  <c r="L805" i="1"/>
  <c r="M805" i="1" s="1"/>
  <c r="L821" i="1"/>
  <c r="M821" i="1" s="1"/>
  <c r="L829" i="1"/>
  <c r="M829" i="1" s="1"/>
  <c r="L838" i="1"/>
  <c r="M838" i="1" s="1"/>
  <c r="L837" i="1"/>
  <c r="M837" i="1" s="1"/>
  <c r="L836" i="1"/>
  <c r="M836" i="1" s="1"/>
  <c r="L835" i="1"/>
  <c r="M835" i="1" s="1"/>
  <c r="L834" i="1"/>
  <c r="M834" i="1" s="1"/>
  <c r="L858" i="1"/>
  <c r="M858" i="1" s="1"/>
  <c r="L857" i="1"/>
  <c r="M857" i="1" s="1"/>
  <c r="L856" i="1"/>
  <c r="M856" i="1" s="1"/>
  <c r="L855" i="1"/>
  <c r="M855" i="1" s="1"/>
  <c r="L854" i="1"/>
  <c r="M854" i="1" s="1"/>
  <c r="L867" i="1"/>
  <c r="M867" i="1" s="1"/>
  <c r="L888" i="1"/>
  <c r="M888" i="1" s="1"/>
  <c r="L887" i="1"/>
  <c r="M887" i="1" s="1"/>
  <c r="L886" i="1"/>
  <c r="M886" i="1" s="1"/>
  <c r="L908" i="1"/>
  <c r="M908" i="1" s="1"/>
  <c r="L907" i="1"/>
  <c r="M907" i="1" s="1"/>
  <c r="L906" i="1"/>
  <c r="M906" i="1" s="1"/>
  <c r="L923" i="1"/>
  <c r="M923" i="1" s="1"/>
  <c r="L922" i="1"/>
  <c r="M922" i="1" s="1"/>
  <c r="L921" i="1"/>
  <c r="M921" i="1" s="1"/>
  <c r="L920" i="1"/>
  <c r="M920" i="1" s="1"/>
  <c r="L928" i="1"/>
  <c r="M928" i="1" s="1"/>
  <c r="L937" i="1"/>
  <c r="M937" i="1" s="1"/>
  <c r="L946" i="1"/>
  <c r="M946" i="1" s="1"/>
  <c r="L949" i="1"/>
  <c r="M949" i="1" s="1"/>
  <c r="L977" i="1"/>
  <c r="M977" i="1" s="1"/>
  <c r="L976" i="1"/>
  <c r="M976" i="1" s="1"/>
  <c r="L975" i="1"/>
  <c r="M975" i="1" s="1"/>
  <c r="L974" i="1"/>
  <c r="M974" i="1" s="1"/>
  <c r="L973" i="1"/>
  <c r="M973" i="1" s="1"/>
  <c r="L972" i="1"/>
  <c r="M972" i="1" s="1"/>
  <c r="L971" i="1"/>
  <c r="M971" i="1" s="1"/>
  <c r="L970" i="1"/>
  <c r="M970" i="1" s="1"/>
  <c r="L969" i="1"/>
  <c r="M969" i="1" s="1"/>
  <c r="L434" i="1"/>
  <c r="M434" i="1" s="1"/>
  <c r="L575" i="1"/>
  <c r="M575" i="1" s="1"/>
  <c r="L574" i="1"/>
  <c r="M574" i="1" s="1"/>
  <c r="L573" i="1"/>
  <c r="M573" i="1" s="1"/>
  <c r="L693" i="1"/>
  <c r="M693" i="1" s="1"/>
  <c r="L692" i="1"/>
  <c r="M692" i="1" s="1"/>
  <c r="L691" i="1"/>
  <c r="M691" i="1" s="1"/>
  <c r="L751" i="1"/>
  <c r="M751" i="1" s="1"/>
  <c r="L804" i="1"/>
  <c r="M804" i="1" s="1"/>
  <c r="L803" i="1"/>
  <c r="M803" i="1" s="1"/>
  <c r="L802" i="1"/>
  <c r="M802" i="1" s="1"/>
  <c r="L853" i="1"/>
  <c r="M853" i="1" s="1"/>
  <c r="L852" i="1"/>
  <c r="M852" i="1" s="1"/>
  <c r="L851" i="1"/>
  <c r="M851" i="1" s="1"/>
  <c r="L850" i="1"/>
  <c r="M850" i="1" s="1"/>
  <c r="L905" i="1"/>
  <c r="M905" i="1" s="1"/>
  <c r="L904" i="1"/>
  <c r="M904" i="1" s="1"/>
  <c r="L903" i="1"/>
  <c r="M903" i="1" s="1"/>
  <c r="L968" i="1"/>
  <c r="M968" i="1" s="1"/>
  <c r="L967" i="1"/>
  <c r="M967" i="1" s="1"/>
  <c r="L512" i="1"/>
  <c r="M512" i="1" s="1"/>
  <c r="L514" i="1"/>
  <c r="M514" i="1" s="1"/>
  <c r="L520" i="1"/>
  <c r="M520" i="1" s="1"/>
  <c r="L525" i="1"/>
  <c r="M525" i="1" s="1"/>
  <c r="L524" i="1"/>
  <c r="M524" i="1" s="1"/>
  <c r="L543" i="1"/>
  <c r="M543" i="1" s="1"/>
  <c r="L546" i="1"/>
  <c r="M546" i="1" s="1"/>
  <c r="L545" i="1"/>
  <c r="M545" i="1" s="1"/>
  <c r="L551" i="1"/>
  <c r="M551" i="1" s="1"/>
  <c r="L550" i="1"/>
  <c r="M550" i="1" s="1"/>
  <c r="L554" i="1"/>
  <c r="M554" i="1" s="1"/>
  <c r="L558" i="1"/>
  <c r="M558" i="1" s="1"/>
  <c r="L557" i="1"/>
  <c r="M557" i="1" s="1"/>
  <c r="L572" i="1"/>
  <c r="M572" i="1" s="1"/>
  <c r="L571" i="1"/>
  <c r="M571" i="1" s="1"/>
  <c r="L581" i="1"/>
  <c r="M581" i="1" s="1"/>
  <c r="L580" i="1"/>
  <c r="M580" i="1" s="1"/>
  <c r="L583" i="1"/>
  <c r="M583" i="1" s="1"/>
  <c r="L598" i="1"/>
  <c r="M598" i="1" s="1"/>
  <c r="L597" i="1"/>
  <c r="M597" i="1" s="1"/>
  <c r="L665" i="1"/>
  <c r="M665" i="1" s="1"/>
  <c r="L666" i="1"/>
  <c r="M666" i="1" s="1"/>
  <c r="L673" i="1"/>
  <c r="M673" i="1" s="1"/>
  <c r="L672" i="1"/>
  <c r="M672" i="1" s="1"/>
  <c r="L671" i="1"/>
  <c r="M671" i="1" s="1"/>
  <c r="L683" i="1"/>
  <c r="M683" i="1" s="1"/>
  <c r="L686" i="1"/>
  <c r="M686" i="1" s="1"/>
  <c r="L690" i="1"/>
  <c r="M690" i="1" s="1"/>
  <c r="L689" i="1"/>
  <c r="M689" i="1" s="1"/>
  <c r="L712" i="1"/>
  <c r="M712" i="1" s="1"/>
  <c r="L711" i="1"/>
  <c r="M711" i="1" s="1"/>
  <c r="L710" i="1"/>
  <c r="M710" i="1" s="1"/>
  <c r="L724" i="1"/>
  <c r="M724" i="1" s="1"/>
  <c r="L738" i="1"/>
  <c r="M738" i="1" s="1"/>
  <c r="L750" i="1"/>
  <c r="M750" i="1" s="1"/>
  <c r="L749" i="1"/>
  <c r="M749" i="1" s="1"/>
  <c r="L748" i="1"/>
  <c r="M748" i="1" s="1"/>
  <c r="L747" i="1"/>
  <c r="M747" i="1" s="1"/>
  <c r="L783" i="1"/>
  <c r="M783" i="1" s="1"/>
  <c r="L785" i="1"/>
  <c r="M785" i="1" s="1"/>
  <c r="L801" i="1"/>
  <c r="M801" i="1" s="1"/>
  <c r="L800" i="1"/>
  <c r="M800" i="1" s="1"/>
  <c r="L828" i="1"/>
  <c r="M828" i="1" s="1"/>
  <c r="L833" i="1"/>
  <c r="M833" i="1" s="1"/>
  <c r="L849" i="1"/>
  <c r="M849" i="1" s="1"/>
  <c r="L848" i="1"/>
  <c r="M848" i="1" s="1"/>
  <c r="L966" i="1"/>
  <c r="M966" i="1" s="1"/>
  <c r="L965" i="1"/>
  <c r="M965" i="1" s="1"/>
  <c r="L964" i="1"/>
  <c r="M964" i="1" s="1"/>
  <c r="L14" i="1"/>
  <c r="M14" i="1" s="1"/>
  <c r="L13" i="1"/>
  <c r="M13" i="1" s="1"/>
  <c r="L16" i="1"/>
  <c r="M16" i="1" s="1"/>
  <c r="L15" i="1"/>
  <c r="M15" i="1" s="1"/>
  <c r="L18" i="1"/>
  <c r="M18" i="1" s="1"/>
  <c r="L17" i="1"/>
  <c r="M17" i="1" s="1"/>
  <c r="L20" i="1"/>
  <c r="M20" i="1" s="1"/>
  <c r="L19" i="1"/>
  <c r="M19" i="1" s="1"/>
  <c r="L22" i="1"/>
  <c r="M22" i="1" s="1"/>
  <c r="L21" i="1"/>
  <c r="M21" i="1" s="1"/>
  <c r="L24" i="1"/>
  <c r="M24" i="1" s="1"/>
  <c r="L23" i="1"/>
  <c r="M23" i="1" s="1"/>
  <c r="L26" i="1"/>
  <c r="M26" i="1" s="1"/>
  <c r="L25" i="1"/>
  <c r="M25" i="1" s="1"/>
  <c r="L28" i="1"/>
  <c r="M28" i="1" s="1"/>
  <c r="L27" i="1"/>
  <c r="M27" i="1" s="1"/>
  <c r="L30" i="1"/>
  <c r="M30" i="1" s="1"/>
  <c r="L29" i="1"/>
  <c r="M29" i="1" s="1"/>
  <c r="L31" i="1"/>
  <c r="M31" i="1" s="1"/>
  <c r="L34" i="1"/>
  <c r="M34" i="1" s="1"/>
  <c r="L33" i="1"/>
  <c r="M33" i="1" s="1"/>
  <c r="L32" i="1"/>
  <c r="M32" i="1" s="1"/>
  <c r="L35" i="1"/>
  <c r="M35" i="1" s="1"/>
  <c r="L44" i="1"/>
  <c r="M44" i="1" s="1"/>
  <c r="L47" i="1"/>
  <c r="M47" i="1" s="1"/>
  <c r="L46" i="1"/>
  <c r="M46" i="1" s="1"/>
  <c r="L51" i="1"/>
  <c r="M51" i="1" s="1"/>
  <c r="L56" i="1"/>
  <c r="M56" i="1" s="1"/>
  <c r="L59" i="1"/>
  <c r="M59" i="1" s="1"/>
  <c r="L58" i="1"/>
  <c r="M58" i="1" s="1"/>
  <c r="L57" i="1"/>
  <c r="M57" i="1" s="1"/>
  <c r="L65" i="1"/>
  <c r="M65" i="1" s="1"/>
  <c r="L64" i="1"/>
  <c r="M64" i="1" s="1"/>
  <c r="L63" i="1"/>
  <c r="M63" i="1" s="1"/>
  <c r="L62" i="1"/>
  <c r="M62" i="1" s="1"/>
  <c r="L61" i="1"/>
  <c r="M61" i="1" s="1"/>
  <c r="L60" i="1"/>
  <c r="M60" i="1" s="1"/>
  <c r="L117" i="1"/>
  <c r="M117" i="1" s="1"/>
  <c r="L116" i="1"/>
  <c r="M116" i="1" s="1"/>
  <c r="L118" i="1"/>
  <c r="M118" i="1" s="1"/>
  <c r="L136" i="1"/>
  <c r="M136" i="1" s="1"/>
  <c r="L135" i="1"/>
  <c r="M135" i="1" s="1"/>
  <c r="L171" i="1"/>
  <c r="M171" i="1" s="1"/>
  <c r="L194" i="1"/>
  <c r="M194" i="1" s="1"/>
  <c r="L685" i="1"/>
  <c r="M685" i="1" s="1"/>
  <c r="L684" i="1"/>
  <c r="M684" i="1" s="1"/>
  <c r="L688" i="1"/>
  <c r="M688" i="1" s="1"/>
  <c r="L697" i="1"/>
  <c r="M697" i="1" s="1"/>
  <c r="L700" i="1"/>
  <c r="M700" i="1" s="1"/>
  <c r="L699" i="1"/>
  <c r="M699" i="1" s="1"/>
  <c r="L703" i="1"/>
  <c r="M703" i="1" s="1"/>
  <c r="L702" i="1"/>
  <c r="M702" i="1" s="1"/>
  <c r="L705" i="1"/>
  <c r="M705" i="1" s="1"/>
  <c r="L704" i="1"/>
  <c r="M704" i="1" s="1"/>
  <c r="L707" i="1"/>
  <c r="M707" i="1" s="1"/>
  <c r="L706" i="1"/>
  <c r="M706" i="1" s="1"/>
  <c r="L736" i="1"/>
  <c r="M736" i="1" s="1"/>
  <c r="L735" i="1"/>
  <c r="M735" i="1" s="1"/>
  <c r="L739" i="1"/>
  <c r="M739" i="1" s="1"/>
  <c r="L746" i="1"/>
  <c r="M746" i="1" s="1"/>
  <c r="K746" i="1"/>
  <c r="H6" i="1" l="1"/>
  <c r="I6" i="1" s="1"/>
  <c r="J6" i="1" l="1"/>
  <c r="B1" i="1"/>
</calcChain>
</file>

<file path=xl/sharedStrings.xml><?xml version="1.0" encoding="utf-8"?>
<sst xmlns="http://schemas.openxmlformats.org/spreadsheetml/2006/main" count="2991" uniqueCount="1033">
  <si>
    <t>league</t>
  </si>
  <si>
    <t>day</t>
  </si>
  <si>
    <t>time</t>
  </si>
  <si>
    <t>game</t>
  </si>
  <si>
    <t>odds_1</t>
  </si>
  <si>
    <t>odds_X</t>
  </si>
  <si>
    <t>odds_2</t>
  </si>
  <si>
    <t>Mali U20-Senegal U20</t>
  </si>
  <si>
    <t>Nigeria U20-South Africa U20</t>
  </si>
  <si>
    <t>Senegal U20-South Africa U20</t>
  </si>
  <si>
    <t>Nigeria U20-Mali U20</t>
  </si>
  <si>
    <t>Mali U20-Ghana U20</t>
  </si>
  <si>
    <t>Senegal U20-Burkina Faso U20</t>
  </si>
  <si>
    <t>Niger U20-Nigeria U20</t>
  </si>
  <si>
    <t>South Africa U20-Burundi U20</t>
  </si>
  <si>
    <t>Ghana U20-Senegal U20</t>
  </si>
  <si>
    <t>Mali U20-Burkina Faso U20</t>
  </si>
  <si>
    <t>Burundi U20-Niger U20</t>
  </si>
  <si>
    <t>South Africa U20-Nigeria U20</t>
  </si>
  <si>
    <t>Burkina Faso U20-Ghana U20</t>
  </si>
  <si>
    <t>Senegal U20-Mali U20</t>
  </si>
  <si>
    <t>Nigeria U20-Burundi U20</t>
  </si>
  <si>
    <t>Niger U20-South Africa U20</t>
  </si>
  <si>
    <t>Benin U20-Ghana U20</t>
  </si>
  <si>
    <t>Ghana U20-Benin U20</t>
  </si>
  <si>
    <t>Senegal U20-Congo U20</t>
  </si>
  <si>
    <t>Nigeria U20-Mauritania U20</t>
  </si>
  <si>
    <t>South Africa U20-Malawi U20</t>
  </si>
  <si>
    <t>Cameroon U20-Mali U20</t>
  </si>
  <si>
    <t>Zambia U20-Burundi U20</t>
  </si>
  <si>
    <t>Sudan U20-Burundi U20</t>
  </si>
  <si>
    <t>Libya U20-Burkina Faso U20</t>
  </si>
  <si>
    <t>Mali U20-Tanzania U20</t>
  </si>
  <si>
    <t>Benin U20-Gambia U20</t>
  </si>
  <si>
    <t>Ghana U20-Algeria U20</t>
  </si>
  <si>
    <t>South Africa U20-Mozambique U20</t>
  </si>
  <si>
    <t>Egypt U20-Senegal U20</t>
  </si>
  <si>
    <t>Ivory Coast U20-Gabon U20</t>
  </si>
  <si>
    <t>Zambia U20-Rwanda U20</t>
  </si>
  <si>
    <t>Cameroon U20-Uganda U20</t>
  </si>
  <si>
    <t>Tanzania U20-Mali U20</t>
  </si>
  <si>
    <t>Rwanda U20-Zambia U20</t>
  </si>
  <si>
    <t>Uganda U20-Cameroon U20</t>
  </si>
  <si>
    <t>Algeria U20-Ghana U20</t>
  </si>
  <si>
    <t>Namibia U20-Botswana U20</t>
  </si>
  <si>
    <t>Morocco U20-Mauritania U20</t>
  </si>
  <si>
    <t>Tunisia U20-Algeria U20</t>
  </si>
  <si>
    <t>Rwanda U20-Kenya U20</t>
  </si>
  <si>
    <t>Kenya U20-Rwanda U20</t>
  </si>
  <si>
    <t>Algeria U20-Tunisia U20</t>
  </si>
  <si>
    <t>Uganda U20-South Sudan U20</t>
  </si>
  <si>
    <t>1-2</t>
  </si>
  <si>
    <t>status</t>
  </si>
  <si>
    <t>Ghana U17-Mali U17</t>
  </si>
  <si>
    <t>Niger U17-Guinea U17</t>
  </si>
  <si>
    <t>Mali U17-Guinea U17</t>
  </si>
  <si>
    <t>Ghana U17-Niger U17</t>
  </si>
  <si>
    <t>Mali U17-Angola U17</t>
  </si>
  <si>
    <t>Tanzania U17-Niger U17</t>
  </si>
  <si>
    <t>Gabon U17-Cameroon U17</t>
  </si>
  <si>
    <t>Guinea U17-Ghana U17</t>
  </si>
  <si>
    <t>Niger U17-Mali U17</t>
  </si>
  <si>
    <t>Tanzania U17-Angola U17</t>
  </si>
  <si>
    <t>Ghana U17-Gabon U17</t>
  </si>
  <si>
    <t>Guinea U17-Cameroon U17</t>
  </si>
  <si>
    <t>Angola U17-Niger U17</t>
  </si>
  <si>
    <t>Mali U17-Tanzania U17</t>
  </si>
  <si>
    <t>Cameroon U17-Ghana U17</t>
  </si>
  <si>
    <t>Gabon U17-Guinea U17</t>
  </si>
  <si>
    <t>Partizani-Teuta</t>
  </si>
  <si>
    <t>Kastrioti-KF Tirana</t>
  </si>
  <si>
    <t>Laci-Flamurtari</t>
  </si>
  <si>
    <t>Flamurtari-Kastrioti</t>
  </si>
  <si>
    <t>Kamza-Laci</t>
  </si>
  <si>
    <t>Kukesi-Luftetari Gjirokastra</t>
  </si>
  <si>
    <t>KF Tirana-Partizani</t>
  </si>
  <si>
    <t>Kastrioti-Laci</t>
  </si>
  <si>
    <t>Kukesi-Kamza</t>
  </si>
  <si>
    <t>Partizani-Flamurtari</t>
  </si>
  <si>
    <t>Skenderbeu-KF Tirana</t>
  </si>
  <si>
    <t>Flamurtari-Skenderbeu</t>
  </si>
  <si>
    <t>KF Tirana-Luftetari Gjirokastra</t>
  </si>
  <si>
    <t>Kamza-Kastrioti</t>
  </si>
  <si>
    <t>Laci-Partizani</t>
  </si>
  <si>
    <t>Teuta-Kukesi</t>
  </si>
  <si>
    <t>Skenderbeu-Laci</t>
  </si>
  <si>
    <t>Teuta-Kamza</t>
  </si>
  <si>
    <t>Kukesi-KF Tirana</t>
  </si>
  <si>
    <t>Luftetari Gjirokastra-Flamurtari</t>
  </si>
  <si>
    <t>Kamza-Partizani</t>
  </si>
  <si>
    <t>Laci-Luftetari Gjirokastra</t>
  </si>
  <si>
    <t>Flamurtari-Kukesi</t>
  </si>
  <si>
    <t>KF Tirana-Teuta</t>
  </si>
  <si>
    <t>KF Tirana-Kamza</t>
  </si>
  <si>
    <t>Teuta-Flamurtari</t>
  </si>
  <si>
    <t>Luftetari Gjirokastra-Kastrioti</t>
  </si>
  <si>
    <t>Kukesi-Laci</t>
  </si>
  <si>
    <t>Skenderbeu-Partizani</t>
  </si>
  <si>
    <t>Kukesi-Kastrioti</t>
  </si>
  <si>
    <t>Luftetari Gjirokastra-Partizani</t>
  </si>
  <si>
    <t>Teuta-Laci</t>
  </si>
  <si>
    <t>KF Tirana-Flamurtari</t>
  </si>
  <si>
    <t>Kamza-Skenderbeu</t>
  </si>
  <si>
    <t>Skenderbeu-Luftetari Gjirokastra</t>
  </si>
  <si>
    <t>Kastrioti-Teuta</t>
  </si>
  <si>
    <t>Flamurtari-Kamza</t>
  </si>
  <si>
    <t>Laci-KF Tirana</t>
  </si>
  <si>
    <t>Partizani-Kukesi</t>
  </si>
  <si>
    <t>Flamurtari-Laci</t>
  </si>
  <si>
    <t>Kamza-Luftetari Gjirokastra</t>
  </si>
  <si>
    <t>Teuta-Partizani</t>
  </si>
  <si>
    <t>KF Tirana-Kastrioti</t>
  </si>
  <si>
    <t>Kukesi-Skenderbeu</t>
  </si>
  <si>
    <t>Kastrioti-Flamurtari</t>
  </si>
  <si>
    <t>Laci-Kamza</t>
  </si>
  <si>
    <t>Partizani-KF Tirana</t>
  </si>
  <si>
    <t>Teuta-Luftetari Gjirokastra</t>
  </si>
  <si>
    <t>Flamurtari-Partizani</t>
  </si>
  <si>
    <t>Inter Club Escaldes-Lusitanos</t>
  </si>
  <si>
    <t>Sant Julia-UE Santa Coloma</t>
  </si>
  <si>
    <t>Lusitanos-Ordino</t>
  </si>
  <si>
    <t>UE Santa Coloma-Inter Club Escaldes</t>
  </si>
  <si>
    <t>Sant Julia-FC Santa Coloma</t>
  </si>
  <si>
    <t>Inter Club Escaldes-Sant Julia</t>
  </si>
  <si>
    <t>Ordino-UE Santa Coloma</t>
  </si>
  <si>
    <t>FC Santa Coloma-Encamp</t>
  </si>
  <si>
    <t>UE Engordany-Lusitanos</t>
  </si>
  <si>
    <t>Sant Julia-Ordino</t>
  </si>
  <si>
    <t>Lusitanos-Encamp</t>
  </si>
  <si>
    <t>Inter Club Escaldes-FC Santa Coloma</t>
  </si>
  <si>
    <t>Encamp-UE Santa Coloma</t>
  </si>
  <si>
    <t>UE Santa Coloma-FC Santa Coloma</t>
  </si>
  <si>
    <t>Inter Club Escaldes-Encamp</t>
  </si>
  <si>
    <t>Ordino-UE Engordany</t>
  </si>
  <si>
    <t>Lusitanos-Inter Club Escaldes</t>
  </si>
  <si>
    <t>UE Engordany-FC Santa Coloma</t>
  </si>
  <si>
    <t>Encamp-Ordino</t>
  </si>
  <si>
    <t>Encamp-UE Engordany</t>
  </si>
  <si>
    <t>Atl. Rafaela-Instituto</t>
  </si>
  <si>
    <t>Almagro-Def. de Belgrano</t>
  </si>
  <si>
    <t>Central Cordoba-Gimnasia Jujuy</t>
  </si>
  <si>
    <t>Brown Adrogue-Ind. Rivadavia</t>
  </si>
  <si>
    <t>Ferro-Deportivo Moron</t>
  </si>
  <si>
    <t>Guillermo Brown-Club Atletico Mitre</t>
  </si>
  <si>
    <t>Los Andes-Santamarina</t>
  </si>
  <si>
    <t>Olimpo Bahia Blanca-Temperley</t>
  </si>
  <si>
    <t>Nueva Chicago-Chacarita Juniors</t>
  </si>
  <si>
    <t>Platense-Arsenal Sarandi</t>
  </si>
  <si>
    <t>Gimnasia Mendoza-Agropecuario</t>
  </si>
  <si>
    <t>Ind. Rivadavia-Sarmiento Junin</t>
  </si>
  <si>
    <t>Agropecuario-Platense</t>
  </si>
  <si>
    <t>Santamarina-Atl. Rafaela</t>
  </si>
  <si>
    <t>Gimnasia Jujuy-Los Andes</t>
  </si>
  <si>
    <t>Arsenal Sarandi-Almagro</t>
  </si>
  <si>
    <t>Club Atletico Mitre-Nueva Chicago</t>
  </si>
  <si>
    <t>Chacarita Juniors-Ferro</t>
  </si>
  <si>
    <t>Instituto-Olimpo Bahia Blanca</t>
  </si>
  <si>
    <t>Def. de Belgrano-Central Cordoba</t>
  </si>
  <si>
    <t>Temperley-Guillermo Brown</t>
  </si>
  <si>
    <t>Deportivo Moron-Brown Adrogue</t>
  </si>
  <si>
    <t>Villa Dalmine-Gimnasia Mendoza</t>
  </si>
  <si>
    <t>Sarmiento Junin-Deportivo Moron</t>
  </si>
  <si>
    <t>Platense-Villa Dalmine</t>
  </si>
  <si>
    <t>Ferro-Club Atletico Mitre</t>
  </si>
  <si>
    <t>Nueva Chicago-Temperley</t>
  </si>
  <si>
    <t>Guillermo Brown-Instituto</t>
  </si>
  <si>
    <t>Olimpo Bahia Blanca-Santamarina</t>
  </si>
  <si>
    <t>Quilmes-Ind. Rivadavia</t>
  </si>
  <si>
    <t>Brown Adrogue-Chacarita Juniors</t>
  </si>
  <si>
    <t>Los Andes-Def. de Belgrano</t>
  </si>
  <si>
    <t>Central Cordoba-Arsenal Sarandi</t>
  </si>
  <si>
    <t>Atl. Rafaela-Gimnasia Jujuy</t>
  </si>
  <si>
    <t>Almagro-Agropecuario</t>
  </si>
  <si>
    <t>Temperley-Ferro</t>
  </si>
  <si>
    <t>Gimnasia Mendoza-Platense</t>
  </si>
  <si>
    <t>Arsenal Sarandi-Los Andes</t>
  </si>
  <si>
    <t>Deportivo Moron-Quilmes</t>
  </si>
  <si>
    <t>Gimnasia Jujuy-Olimpo Bahia Blanca</t>
  </si>
  <si>
    <t>Club Atletico Mitre-Brown Adrogue</t>
  </si>
  <si>
    <t>Santamarina-Guillermo Brown</t>
  </si>
  <si>
    <t>Instituto-Nueva Chicago</t>
  </si>
  <si>
    <t>Agropecuario-Central Cordoba</t>
  </si>
  <si>
    <t>Villa Dalmine-Almagro</t>
  </si>
  <si>
    <t>Chacarita Juniors-Sarmiento Junin</t>
  </si>
  <si>
    <t>Def. de Belgrano-Atl. Rafaela</t>
  </si>
  <si>
    <t>Quilmes-Chacarita Juniors</t>
  </si>
  <si>
    <t>Olimpo Bahia Blanca-Def. de Belgrano</t>
  </si>
  <si>
    <t>Ind. Rivadavia-Deportivo Moron</t>
  </si>
  <si>
    <t>Olimpo Bahia Blanca-Los Andes</t>
  </si>
  <si>
    <t>Guillermo Brown-Central Cordoba</t>
  </si>
  <si>
    <t>Nueva Chicago-Almagro</t>
  </si>
  <si>
    <t>Sarmiento Junin-Villa Dalmine</t>
  </si>
  <si>
    <t>Ferro-Platense</t>
  </si>
  <si>
    <t>Brown Adrogue-Gimnasia Mendoza</t>
  </si>
  <si>
    <t>Temperley-Instituto</t>
  </si>
  <si>
    <t>Central Cordoba-Nueva Chicago</t>
  </si>
  <si>
    <t>Gimnasia Jujuy-Club Atletico Mitre</t>
  </si>
  <si>
    <t>Gimnasia Mendoza-Sarmiento Junin</t>
  </si>
  <si>
    <t>Def. de Belgrano-Chacarita Juniors</t>
  </si>
  <si>
    <t>Platense-Brown Adrogue</t>
  </si>
  <si>
    <t>Villa Dalmine-Quilmes</t>
  </si>
  <si>
    <t>Santamarina-Temperley</t>
  </si>
  <si>
    <t>Agropecuario-Ind. Rivadavia</t>
  </si>
  <si>
    <t>Los Andes-Guillermo Brown</t>
  </si>
  <si>
    <t>Atl. Rafaela-Olimpo Bahia Blanca</t>
  </si>
  <si>
    <t>Almagro-Ferro</t>
  </si>
  <si>
    <t>Arsenal Sarandi-Deportivo Moron</t>
  </si>
  <si>
    <t>Gimnasia Jujuy-Instituto</t>
  </si>
  <si>
    <t>Arsenal Sarandi-Club Atletico Mitre</t>
  </si>
  <si>
    <t>Villa Dalmine-Deportivo Moron</t>
  </si>
  <si>
    <t>Sarmiento Junin-Platense</t>
  </si>
  <si>
    <t>Club Atletico Mitre-Def. de Belgrano</t>
  </si>
  <si>
    <t>Ind. Rivadavia-Villa Dalmine</t>
  </si>
  <si>
    <t>Guillermo Brown-Atl. Rafaela</t>
  </si>
  <si>
    <t>Chacarita Juniors-Arsenal Sarandi</t>
  </si>
  <si>
    <t>Quilmes-Gimnasia Mendoza</t>
  </si>
  <si>
    <t>Temperley-Gimnasia Jujuy</t>
  </si>
  <si>
    <t>Brown Adrogue-Almagro</t>
  </si>
  <si>
    <t>Instituto-Santamarina</t>
  </si>
  <si>
    <t>Deportivo Moron-Agropecuario</t>
  </si>
  <si>
    <t>Nueva Chicago-Los Andes</t>
  </si>
  <si>
    <t>Central Cordoba-Brown Adrogue</t>
  </si>
  <si>
    <t>Agropecuario-Chacarita Juniors</t>
  </si>
  <si>
    <t>Platense-Quilmes</t>
  </si>
  <si>
    <t>Gimnasia Mendoza-Ind. Rivadavia</t>
  </si>
  <si>
    <t>Olimpo Bahia Blanca-Guillermo Brown</t>
  </si>
  <si>
    <t>Los Andes-Ferro</t>
  </si>
  <si>
    <t>Atl. Rafaela-Nueva Chicago</t>
  </si>
  <si>
    <t>Almagro-Sarmiento Junin</t>
  </si>
  <si>
    <t>Ferro-Atl. Rafaela</t>
  </si>
  <si>
    <t>Deportivo Moron-Gimnasia Mendoza</t>
  </si>
  <si>
    <t>Club Atletico Mitre-Agropecuario</t>
  </si>
  <si>
    <t>Quilmes-Almagro</t>
  </si>
  <si>
    <t>Temperley-Arsenal Sarandi</t>
  </si>
  <si>
    <t>Ind. Rivadavia-Platense</t>
  </si>
  <si>
    <t>Brown Adrogue-Los Andes</t>
  </si>
  <si>
    <t>Nueva Chicago-Olimpo Bahia Blanca</t>
  </si>
  <si>
    <t>Santamarina-Gimnasia Jujuy</t>
  </si>
  <si>
    <t>Beijing Guoan (Chn) -Urawa (Jpn)</t>
  </si>
  <si>
    <t>Buriram (Tha) -Jeonbuk (Kor)</t>
  </si>
  <si>
    <t>Kawasaki Frontale (Jpn) -Sydney FC (Aus)</t>
  </si>
  <si>
    <t>Ulsan Hyundai (Kor) -Shanghai SIPG (Chn)</t>
  </si>
  <si>
    <t>Al-Hilal (Sau) -Al-Duhail (Qat)</t>
  </si>
  <si>
    <t>Al-Sadd (Qat) -Persepolis (Irn)</t>
  </si>
  <si>
    <t>Esteghlal F.C. (Irn) -Al Ain (Uae)</t>
  </si>
  <si>
    <t>Pakhtakor (Uzb) -Al Ahli SC (Sau)</t>
  </si>
  <si>
    <t>Johor DT (Mys) -Gyeongnam (Kor)</t>
  </si>
  <si>
    <t>Daegu (Kor) -Guangzhou Evergrande (Chn)</t>
  </si>
  <si>
    <t>Hiroshima (Jpn) -Melbourne Victory (Aus)</t>
  </si>
  <si>
    <t>Shandong Luneng (Chn) -Kashima (Jpn)</t>
  </si>
  <si>
    <t>Al-Nassr (Sau) -Zob Ahan (Irn)</t>
  </si>
  <si>
    <t>Al Rayyan (Qat) -Lok. Tashkent (Uzb)</t>
  </si>
  <si>
    <t>Al Wahda (Uae) -Al-Ittihad FC (Sau)</t>
  </si>
  <si>
    <t>Al Zawraa (Irq) -Al Wasl (Uae)</t>
  </si>
  <si>
    <t>Shanghai SIPG (Chn) -Kawasaki Frontale (Jpn)</t>
  </si>
  <si>
    <t>Urawa (Jpn) -Buriram (Tha)</t>
  </si>
  <si>
    <t>Jeonbuk (Kor) -Beijing Guoan (Chn)</t>
  </si>
  <si>
    <t>Sydney FC (Aus) -Ulsan Hyundai (Kor)</t>
  </si>
  <si>
    <t>Al Ahli SC (Sau) -Al-Sadd (Qat)</t>
  </si>
  <si>
    <t>Al Ain (Uae) -Al-Hilal (Sau)</t>
  </si>
  <si>
    <t>Al-Duhail (Qat) -Esteghlal F.C. (Irn)</t>
  </si>
  <si>
    <t>Persepolis (Irn) -Pakhtakor (Uzb)</t>
  </si>
  <si>
    <t>Guangzhou Evergrande (Chn) -Hiroshima (Jpn)</t>
  </si>
  <si>
    <t>Gyeongnam (Kor) -Shandong Luneng (Chn)</t>
  </si>
  <si>
    <t>Kashima (Jpn) -Johor DT (Mys)</t>
  </si>
  <si>
    <t>Melbourne Victory (Aus) -Daegu (Kor)</t>
  </si>
  <si>
    <t>Al-Ittihad FC (Sau) -Al Rayyan (Qat)</t>
  </si>
  <si>
    <t>Zob Ahan (Irn) -Al Zawraa (Irq)</t>
  </si>
  <si>
    <t>Al Wasl (Uae) -Al-Nassr (Sau)</t>
  </si>
  <si>
    <t>Lok. Tashkent (Uzb) -Al Wahda (Uae)</t>
  </si>
  <si>
    <t>Al-Gharafa (Qat) -Zob Ahan (Irn)</t>
  </si>
  <si>
    <t>Al Nasr (Uae) -Pakhtakor (Uzb)</t>
  </si>
  <si>
    <t>Al-Nassr (Sau) -AGMK (Uzb)</t>
  </si>
  <si>
    <t>Al Rayyan (Qat) -Saipa (Irn)</t>
  </si>
  <si>
    <t>Ulsan Hyundai (Kor) -Perak (Mys)</t>
  </si>
  <si>
    <t>Hiroshima (Jpn) -Chiangrai Utd (Tha)</t>
  </si>
  <si>
    <t>Kashima (Jpn) -Newcastle Jets (Aus)</t>
  </si>
  <si>
    <t>Shandong Luneng (Chn) -Ha Noi FC (Vie)</t>
  </si>
  <si>
    <t>Zob Ahan (Irn) -Al Kuwait (Kuw)</t>
  </si>
  <si>
    <t>Saipa (Irn) -Minerva (Ind)</t>
  </si>
  <si>
    <t>Perak (Mys) -Kitchee (Hkg)</t>
  </si>
  <si>
    <t>Bangkok Utd (Tha) -Ha Noi FC (Vie)</t>
  </si>
  <si>
    <t>Chiangrai Utd (Tha) -Yangon United (Bur)</t>
  </si>
  <si>
    <t>AGMK (Uzb) -Istiqlol Dushanbe (Taj)</t>
  </si>
  <si>
    <t>Pakhtakor (Uzb) -Al Quwa Al Jawiya (Irq)</t>
  </si>
  <si>
    <t>Newcastle Jets (Aus) -Persija Jakarta (Ina)</t>
  </si>
  <si>
    <t>Al Wehdat (Jor) -Al Kuwait (Kuw)</t>
  </si>
  <si>
    <t>Melbourne City-Brisbane Roar</t>
  </si>
  <si>
    <t>Perth Glory-Sydney FC</t>
  </si>
  <si>
    <t>Adelaide United-Melbourne Victory</t>
  </si>
  <si>
    <t>WS Wanderers-Wellington Phoenix</t>
  </si>
  <si>
    <t>Brisbane Roar-Perth Glory</t>
  </si>
  <si>
    <t>Melbourne City-Newcastle Jets</t>
  </si>
  <si>
    <t>WS Wanderers-Melbourne Victory</t>
  </si>
  <si>
    <t>Adelaide United-Wellington Phoenix</t>
  </si>
  <si>
    <t>Sydney FC-Central Coast Mariners</t>
  </si>
  <si>
    <t>Newcastle Jets-Brisbane Roar</t>
  </si>
  <si>
    <t>WS Wanderers-Melbourne City</t>
  </si>
  <si>
    <t>Central Coast Mariners-Perth Glory</t>
  </si>
  <si>
    <t>Newcastle Jets-Adelaide United</t>
  </si>
  <si>
    <t>Sydney FC-Brisbane Roar</t>
  </si>
  <si>
    <t>Melbourne Victory-Wellington Phoenix</t>
  </si>
  <si>
    <t>Adelaide United-WS Wanderers</t>
  </si>
  <si>
    <t>Central Coast Mariners-Newcastle Jets</t>
  </si>
  <si>
    <t>Melbourne City-Melbourne Victory</t>
  </si>
  <si>
    <t>Wellington Phoenix-Brisbane Roar</t>
  </si>
  <si>
    <t>Adelaide United-Melbourne City</t>
  </si>
  <si>
    <t>Newcastle Jets-Perth Glory</t>
  </si>
  <si>
    <t>WS Wanderers-Sydney FC</t>
  </si>
  <si>
    <t>Wellington Phoenix-Central Coast Mariners</t>
  </si>
  <si>
    <t>Brisbane Roar-Melbourne Victory</t>
  </si>
  <si>
    <t>Perth Glory-Melbourne City</t>
  </si>
  <si>
    <t>Melbourne Victory-Adelaide United</t>
  </si>
  <si>
    <t>Sydney FC-Wellington Phoenix</t>
  </si>
  <si>
    <t>WS Wanderers-Central Coast Mariners</t>
  </si>
  <si>
    <t>Wellington Phoenix-Perth Glory</t>
  </si>
  <si>
    <t>Melbourne Victory-WS Wanderers</t>
  </si>
  <si>
    <t>Central Coast Mariners-Sydney FC</t>
  </si>
  <si>
    <t>Adelaide United-Brisbane Roar</t>
  </si>
  <si>
    <t>Perth Glory-Central Coast Mariners</t>
  </si>
  <si>
    <t>Sydney FC-Melbourne Victory</t>
  </si>
  <si>
    <t>Brisbane Roar-Melbourne City</t>
  </si>
  <si>
    <t>Wellington Phoenix-Adelaide United</t>
  </si>
  <si>
    <t>WS Wanderers-Newcastle Jets</t>
  </si>
  <si>
    <t>Melbourne Victory-Central Coast Mariners</t>
  </si>
  <si>
    <t>Adelaide United-Perth Glory</t>
  </si>
  <si>
    <t>Newcastle Jets-Sydney FC</t>
  </si>
  <si>
    <t>WS Wanderers-Brisbane Roar</t>
  </si>
  <si>
    <t>Melbourne City-Wellington Phoenix</t>
  </si>
  <si>
    <t>Central Coast Mariners-Adelaide United</t>
  </si>
  <si>
    <t>Perth Glory-Brisbane Roar</t>
  </si>
  <si>
    <t>Newcastle Jets-Melbourne Victory</t>
  </si>
  <si>
    <t>Wellington Phoenix-WS Wanderers</t>
  </si>
  <si>
    <t>Melbourne City-Sydney FC</t>
  </si>
  <si>
    <t>Mattersburg-Hartberg</t>
  </si>
  <si>
    <t>LASK Linz-Admira</t>
  </si>
  <si>
    <t>Sturm Graz-St. Polten</t>
  </si>
  <si>
    <t>Wacker Innsbruck-Altach</t>
  </si>
  <si>
    <t>Altach-Rapid Vienna</t>
  </si>
  <si>
    <t>Austria Vienna-AC Wolfsberger</t>
  </si>
  <si>
    <t>Salzburg-Mattersburg</t>
  </si>
  <si>
    <t>Admira-Hartberg</t>
  </si>
  <si>
    <t>St. Polten-LASK Linz</t>
  </si>
  <si>
    <t>Sturm Graz-Wacker Innsbruck</t>
  </si>
  <si>
    <t>LASK Linz-Salzburg</t>
  </si>
  <si>
    <t>AC Wolfsberger-St. Polten</t>
  </si>
  <si>
    <t>Rapid Vienna-Admira</t>
  </si>
  <si>
    <t>Hartberg-Sturm Graz</t>
  </si>
  <si>
    <t>Mattersburg-Altach</t>
  </si>
  <si>
    <t>Wacker Innsbruck-Austria Vienna</t>
  </si>
  <si>
    <t>Austria Vienna-Sturm Graz</t>
  </si>
  <si>
    <t>Admira-AC Wolfsberger</t>
  </si>
  <si>
    <t>Mattersburg-St. Polten</t>
  </si>
  <si>
    <t>Hartberg-Rapid Vienna</t>
  </si>
  <si>
    <t>LASK Linz-Altach</t>
  </si>
  <si>
    <t>Salzburg-Wacker Innsbruck</t>
  </si>
  <si>
    <t>Sturm Graz-Salzburg</t>
  </si>
  <si>
    <t>Rapid Vienna-Mattersburg</t>
  </si>
  <si>
    <t>Wacker Innsbruck-LASK Linz</t>
  </si>
  <si>
    <t>AC Wolfsberger-Hartberg</t>
  </si>
  <si>
    <t>Altach-Austria Vienna</t>
  </si>
  <si>
    <t>St. Polten-Admira</t>
  </si>
  <si>
    <t>LASK Linz-Sturm Graz</t>
  </si>
  <si>
    <t>Hartberg-Austria Vienna</t>
  </si>
  <si>
    <t>Mattersburg-Wacker Innsbruck</t>
  </si>
  <si>
    <t>AC Wolfsberger-Salzburg</t>
  </si>
  <si>
    <t>Admira-Altach</t>
  </si>
  <si>
    <t>Rapid Vienna-St. Polten</t>
  </si>
  <si>
    <t>Salzburg-Rapid Vienna</t>
  </si>
  <si>
    <t>Austria Vienna-LASK Linz</t>
  </si>
  <si>
    <t>Wacker Innsbruck-Admira</t>
  </si>
  <si>
    <t>Altach-AC Wolfsberger</t>
  </si>
  <si>
    <t>St. Polten-Hartberg</t>
  </si>
  <si>
    <t>Sturm Graz-Mattersburg</t>
  </si>
  <si>
    <t>Rapid Vienna-Austria Vienna</t>
  </si>
  <si>
    <t>AC Wolfsberger-Wacker Innsbruck</t>
  </si>
  <si>
    <t>Mattersburg-LASK Linz</t>
  </si>
  <si>
    <t>Admira-Sturm Graz</t>
  </si>
  <si>
    <t>Hartberg-Altach</t>
  </si>
  <si>
    <t>St. Polten-Salzburg</t>
  </si>
  <si>
    <t>LASK Linz-AC Wolfsberger</t>
  </si>
  <si>
    <t>Salzburg-Admira</t>
  </si>
  <si>
    <t>Sturm Graz-Rapid Vienna</t>
  </si>
  <si>
    <t>Wacker Innsbruck-Hartberg</t>
  </si>
  <si>
    <t>Gorodeja-FC Minsk</t>
  </si>
  <si>
    <t>Torpedo Minsk-Slutsk</t>
  </si>
  <si>
    <t>Brest-Din. Minsk</t>
  </si>
  <si>
    <t>BATE-FC Gomel</t>
  </si>
  <si>
    <t>Shakhtyor Soligorsk-Zhodino</t>
  </si>
  <si>
    <t>Vitebsk-Torpedo Minsk</t>
  </si>
  <si>
    <t>FC Minsk-Isloch Minsk</t>
  </si>
  <si>
    <t>Slutsk-Dnepr Mogilev</t>
  </si>
  <si>
    <t>Luch Minsk-Neman</t>
  </si>
  <si>
    <t>Smolevichi-Gorodeja</t>
  </si>
  <si>
    <t>Zhodino-Slutsk</t>
  </si>
  <si>
    <t>Isloch Minsk-Smolevichi</t>
  </si>
  <si>
    <t>Gorodeja-BATE</t>
  </si>
  <si>
    <t>FC Gomel-Luch Minsk</t>
  </si>
  <si>
    <t>Dnepr Mogilev-Vitebsk</t>
  </si>
  <si>
    <t>Torpedo Minsk-Brest</t>
  </si>
  <si>
    <t>Neman-Shakhtyor Soligorsk</t>
  </si>
  <si>
    <t>Din. Minsk-FC Minsk</t>
  </si>
  <si>
    <t>Brest-Dnepr Mogilev</t>
  </si>
  <si>
    <t>Vitebsk-Slutsk</t>
  </si>
  <si>
    <t>Neman-Zhodino</t>
  </si>
  <si>
    <t>BATE-Isloch Minsk</t>
  </si>
  <si>
    <t>Luch Minsk-Gorodeja</t>
  </si>
  <si>
    <t>Shakhtyor Soligorsk-FC Gomel</t>
  </si>
  <si>
    <t>Smolevichi-Din. Minsk</t>
  </si>
  <si>
    <t>FC Minsk-Torpedo Minsk</t>
  </si>
  <si>
    <t>Din. Minsk-BATE</t>
  </si>
  <si>
    <t>Slutsk-Brest</t>
  </si>
  <si>
    <t>Isloch Minsk-Luch Minsk</t>
  </si>
  <si>
    <t>Gorodeja-Shakhtyor Soligorsk</t>
  </si>
  <si>
    <t>FC Gomel-Neman</t>
  </si>
  <si>
    <t>Vitebsk-Zhodino</t>
  </si>
  <si>
    <t>Torpedo Minsk-Smolevichi</t>
  </si>
  <si>
    <t>Dnepr Mogilev-FC Minsk</t>
  </si>
  <si>
    <t>Luch Minsk-Din. Minsk</t>
  </si>
  <si>
    <t>BATE-Torpedo Minsk</t>
  </si>
  <si>
    <t>Neman-Gorodeja</t>
  </si>
  <si>
    <t>Shakhtyor Soligorsk-Isloch Minsk</t>
  </si>
  <si>
    <t>Brest-Vitebsk</t>
  </si>
  <si>
    <t>FC Gomel-Zhodino</t>
  </si>
  <si>
    <t>Smolevichi-Dnepr Mogilev</t>
  </si>
  <si>
    <t>FC Minsk-Slutsk</t>
  </si>
  <si>
    <t>Dnepr Mogilev-BATE</t>
  </si>
  <si>
    <t>Isloch Minsk-Neman</t>
  </si>
  <si>
    <t>Zhodino-Brest</t>
  </si>
  <si>
    <t>Din. Minsk-Shakhtyor Soligorsk</t>
  </si>
  <si>
    <t>Gorodeja-FC Gomel</t>
  </si>
  <si>
    <t>Torpedo Minsk-Luch Minsk</t>
  </si>
  <si>
    <t>Vitebsk-FC Minsk</t>
  </si>
  <si>
    <t>Slutsk-Smolevichi</t>
  </si>
  <si>
    <t>Eppegem-Westhoek</t>
  </si>
  <si>
    <t>KRC Harelbeke-KRC Gent</t>
  </si>
  <si>
    <t>Londerzeel-Olsa Brakel</t>
  </si>
  <si>
    <t>Saint Eloois-Gullegem</t>
  </si>
  <si>
    <t>Ronse-Wijgmaal</t>
  </si>
  <si>
    <t>Dikkelvenne-Diegem</t>
  </si>
  <si>
    <t>Mandel United-Petegem</t>
  </si>
  <si>
    <t>Diegem-Londerzeel</t>
  </si>
  <si>
    <t>Gullegem-Overijse</t>
  </si>
  <si>
    <t>Westhoek-Saint Eloois</t>
  </si>
  <si>
    <t>Wijgmaal-Eppegem</t>
  </si>
  <si>
    <t>Mandel United-Ronse</t>
  </si>
  <si>
    <t>Olsa Brakel-KRC Harelbeke</t>
  </si>
  <si>
    <t>Petegem-KRC Gent</t>
  </si>
  <si>
    <t>Dikkelvenne-Gullegem</t>
  </si>
  <si>
    <t>Eppegem-Mandel United</t>
  </si>
  <si>
    <t>KRC Harelbeke-Diegem</t>
  </si>
  <si>
    <t>Saint Eloois-Wijgmaal</t>
  </si>
  <si>
    <t>KRC Gent-Olsa Brakel</t>
  </si>
  <si>
    <t>Overijse-Westhoek</t>
  </si>
  <si>
    <t>Ronse-Petegem</t>
  </si>
  <si>
    <t>Diegem-KRC Gent</t>
  </si>
  <si>
    <t>Gullegem-Londerzeel</t>
  </si>
  <si>
    <t>Mandel United-Saint Eloois</t>
  </si>
  <si>
    <t>Petegem-Olsa Brakel</t>
  </si>
  <si>
    <t>Ronse-Eppegem</t>
  </si>
  <si>
    <t>Westhoek-Dikkelvenne</t>
  </si>
  <si>
    <t>Wijgmaal-Overijse</t>
  </si>
  <si>
    <t>Dikkelvenne-Wijgmaal</t>
  </si>
  <si>
    <t>Eppegem-Petegem</t>
  </si>
  <si>
    <t>KRC Harelbeke-Gullegem</t>
  </si>
  <si>
    <t>Londerzeel-Westhoek</t>
  </si>
  <si>
    <t>Olsa Brakel-Diegem</t>
  </si>
  <si>
    <t>Overijse-Mandel United</t>
  </si>
  <si>
    <t>Saint Eloois-Ronse</t>
  </si>
  <si>
    <t>Gullegem-KRC Gent</t>
  </si>
  <si>
    <t>Petegem-Diegem</t>
  </si>
  <si>
    <t>Ronse-Overijse</t>
  </si>
  <si>
    <t>Westhoek-KRC Harelbeke</t>
  </si>
  <si>
    <t>Eppegem-Saint Eloois</t>
  </si>
  <si>
    <t>Wijgmaal-Londerzeel</t>
  </si>
  <si>
    <t>Mandel United-Dikkelvenne</t>
  </si>
  <si>
    <t>Dikkelvenne-Ronse</t>
  </si>
  <si>
    <t>KRC Harelbeke-Wijgmaal</t>
  </si>
  <si>
    <t>Olsa Brakel-Gullegem</t>
  </si>
  <si>
    <t>Saint Eloois-Petegem</t>
  </si>
  <si>
    <t>Londerzeel-Mandel United</t>
  </si>
  <si>
    <t>KRC Gent-Westhoek</t>
  </si>
  <si>
    <t>Overijse-Eppegem</t>
  </si>
  <si>
    <t>Ronse-Londerzeel</t>
  </si>
  <si>
    <t>Blooming-Wilstermann</t>
  </si>
  <si>
    <t>San Jose-Guabira</t>
  </si>
  <si>
    <t>Bolivar-Sport Boys</t>
  </si>
  <si>
    <t>Aurora-Oriente Petrolero</t>
  </si>
  <si>
    <t>Royal Pari-Real Potosi</t>
  </si>
  <si>
    <t>Always Ready-The Strongest</t>
  </si>
  <si>
    <t>Nacional Potosi-Destroyers</t>
  </si>
  <si>
    <t>Guabira-Royal Pari</t>
  </si>
  <si>
    <t>Sport Boys-Blooming</t>
  </si>
  <si>
    <t>Oriente Petrolero-Always Ready</t>
  </si>
  <si>
    <t>The Strongest-Bolivar</t>
  </si>
  <si>
    <t>Real Potosi-Aurora</t>
  </si>
  <si>
    <t>Blooming-The Strongest</t>
  </si>
  <si>
    <t>San Jose-Wilstermann</t>
  </si>
  <si>
    <t>Aurora-Royal Pari</t>
  </si>
  <si>
    <t>Destroyers-Guabira</t>
  </si>
  <si>
    <t>Nacional Potosi-Sport Boys</t>
  </si>
  <si>
    <t>Always Ready-Real Potosi</t>
  </si>
  <si>
    <t>Bolivar-Oriente Petrolero</t>
  </si>
  <si>
    <t>The Strongest-Guabira</t>
  </si>
  <si>
    <t>Royal Pari-Always Ready</t>
  </si>
  <si>
    <t>Oriente Petrolero-Blooming</t>
  </si>
  <si>
    <t>The Strongest-Nacional Potosi</t>
  </si>
  <si>
    <t>Sport Boys-San Jose</t>
  </si>
  <si>
    <t>Real Potosi-Bolivar</t>
  </si>
  <si>
    <t>Wilstermann-Destroyers</t>
  </si>
  <si>
    <t>San Jose-The Strongest</t>
  </si>
  <si>
    <t>Destroyers-Sport Boys</t>
  </si>
  <si>
    <t>Nacional Potosi-Oriente Petrolero</t>
  </si>
  <si>
    <t>Bolivar-Royal Pari</t>
  </si>
  <si>
    <t>Wilstermann-Guabira</t>
  </si>
  <si>
    <t>Blooming-Real Potosi</t>
  </si>
  <si>
    <t>Always Ready-Aurora</t>
  </si>
  <si>
    <t>Oriente Petrolero-San Jose</t>
  </si>
  <si>
    <t>The Strongest-Destroyers</t>
  </si>
  <si>
    <t>Sport Boys-Wilstermann</t>
  </si>
  <si>
    <t>Royal Pari-Blooming</t>
  </si>
  <si>
    <t>Aurora-Bolivar</t>
  </si>
  <si>
    <t>Real Potosi-Nacional Potosi</t>
  </si>
  <si>
    <t>Guabira-Always Ready</t>
  </si>
  <si>
    <t>Destroyers-Oriente Petrolero</t>
  </si>
  <si>
    <t>Wilstermann-The Strongest</t>
  </si>
  <si>
    <t>Nacional Potosi-Royal Pari</t>
  </si>
  <si>
    <t>San Jose-Real Potosi</t>
  </si>
  <si>
    <t>Sport Boys-Guabira</t>
  </si>
  <si>
    <t>Bolivar-Always Ready</t>
  </si>
  <si>
    <t>Blooming-Aurora</t>
  </si>
  <si>
    <t>San Jose-Bolivar</t>
  </si>
  <si>
    <t>Real Potosi-Destroyers</t>
  </si>
  <si>
    <t>Oriente Petrolero-Wilstermann</t>
  </si>
  <si>
    <t>Apollon-APOEL</t>
  </si>
  <si>
    <t>Alki Oroklini-Doxa</t>
  </si>
  <si>
    <t>Paphos-Anorthosis</t>
  </si>
  <si>
    <t>Omonia-AEL Limassol</t>
  </si>
  <si>
    <t>Nea Salamis-AEK Larnaca</t>
  </si>
  <si>
    <t>Ermis-Paralimni</t>
  </si>
  <si>
    <t>APOEL-AEK Larnaca</t>
  </si>
  <si>
    <t>Alki Oroklini-Ermis</t>
  </si>
  <si>
    <t>Anorthosis-Paralimni</t>
  </si>
  <si>
    <t>Doxa-Paphos</t>
  </si>
  <si>
    <t>Omonia-Nea Salamis</t>
  </si>
  <si>
    <t>AEL Limassol-Apollon</t>
  </si>
  <si>
    <t>Paralimni-Doxa</t>
  </si>
  <si>
    <t>Ermis-Anorthosis</t>
  </si>
  <si>
    <t>Paphos-Alki Oroklini</t>
  </si>
  <si>
    <t>Nea Salamis-APOEL</t>
  </si>
  <si>
    <t>Apollon-Omonia</t>
  </si>
  <si>
    <t>AEK Larnaca-AEL Limassol</t>
  </si>
  <si>
    <t>AEK Larnaca-Paralimni</t>
  </si>
  <si>
    <t>Nea Salamis-Alki Oroklini</t>
  </si>
  <si>
    <t>Paphos-Doxa</t>
  </si>
  <si>
    <t>Doxa-Ermis</t>
  </si>
  <si>
    <t>AEL Limassol-Nea Salamis</t>
  </si>
  <si>
    <t>Anorthosis-Omonia</t>
  </si>
  <si>
    <t>Alki Oroklini-Apollon</t>
  </si>
  <si>
    <t>Paralimni-Paphos</t>
  </si>
  <si>
    <t>Paphos-Ermis</t>
  </si>
  <si>
    <t>AEK Larnaca-Alki Oroklini</t>
  </si>
  <si>
    <t>Omonia-Doxa</t>
  </si>
  <si>
    <t>Paralimni-APOEL</t>
  </si>
  <si>
    <t>Nea Salamis-Anorthosis</t>
  </si>
  <si>
    <t>Apollon-AEL Limassol</t>
  </si>
  <si>
    <t>Ermis-Omonia</t>
  </si>
  <si>
    <t>Alki Oroklini-Paralimni</t>
  </si>
  <si>
    <t>Doxa-Nea Salamis</t>
  </si>
  <si>
    <t>AEL Limassol-AEK Larnaca</t>
  </si>
  <si>
    <t>APOEL-Paphos</t>
  </si>
  <si>
    <t>APOEL-Alki Oroklini</t>
  </si>
  <si>
    <t>Paralimni-AEL Limassol</t>
  </si>
  <si>
    <t>AEK Larnaca-Anorthosis</t>
  </si>
  <si>
    <t>Paphos-Omonia</t>
  </si>
  <si>
    <t>Apollon-Doxa</t>
  </si>
  <si>
    <t>Nea Salamis-Ermis</t>
  </si>
  <si>
    <t>Doxa-AEK Larnaca</t>
  </si>
  <si>
    <t>Cuiaba Esporte-Operario</t>
  </si>
  <si>
    <t>Operario-Cuiaba Esporte</t>
  </si>
  <si>
    <t>Operario-Bragantino</t>
  </si>
  <si>
    <t>Botafogo SP-Cuiaba Esporte</t>
  </si>
  <si>
    <t>Cuiaba Esporte-Botafogo SP</t>
  </si>
  <si>
    <t>Bragantino-Operario</t>
  </si>
  <si>
    <t>Acreano-Cuiaba Esporte</t>
  </si>
  <si>
    <t>Botafogo SP-Botafogo PB</t>
  </si>
  <si>
    <t>Nautico-Bragantino</t>
  </si>
  <si>
    <t>Operario-Santa Cruz</t>
  </si>
  <si>
    <t>Cuiaba Esporte-Acreano</t>
  </si>
  <si>
    <t>Botafogo PB-Botafogo SP</t>
  </si>
  <si>
    <t>Santa Cruz-Operario</t>
  </si>
  <si>
    <t>Bragantino-Nautico</t>
  </si>
  <si>
    <t>ABC-Acreano</t>
  </si>
  <si>
    <t>Botafogo PB-Juazeirense</t>
  </si>
  <si>
    <t>Confianca-Globo</t>
  </si>
  <si>
    <t>Remo-Nautico</t>
  </si>
  <si>
    <t>Santa Cruz-Salgueiro</t>
  </si>
  <si>
    <t>Bragantino-Cuiaba Esporte</t>
  </si>
  <si>
    <t>Luverdense-Operario</t>
  </si>
  <si>
    <t>Tombense-Botafogo SP</t>
  </si>
  <si>
    <t>Volta Redonda-Joinville</t>
  </si>
  <si>
    <t>Ypiranga FC-Tupi</t>
  </si>
  <si>
    <t>Salgueiro-Remo</t>
  </si>
  <si>
    <t>Acreano-Confianca</t>
  </si>
  <si>
    <t>Juazeirense-Santa Cruz</t>
  </si>
  <si>
    <t>Globo-Botafogo PB</t>
  </si>
  <si>
    <t>Joinville-Luverdense</t>
  </si>
  <si>
    <t>Cuiaba Esporte-Tombense</t>
  </si>
  <si>
    <t>Botafogo SP-Ypiranga FC</t>
  </si>
  <si>
    <t>Nautico-ABC</t>
  </si>
  <si>
    <t>Tupi-Volta Redonda</t>
  </si>
  <si>
    <t>Remo-ABC</t>
  </si>
  <si>
    <t>Botafogo PB-Acreano</t>
  </si>
  <si>
    <t>Ypiranga FC-Cuiaba Esporte</t>
  </si>
  <si>
    <t>Luverdense-Bragantino</t>
  </si>
  <si>
    <t>Volta Redonda-Tombense</t>
  </si>
  <si>
    <t>Botafogo SP-Operario</t>
  </si>
  <si>
    <t>Juazeirense-Salgueiro</t>
  </si>
  <si>
    <t>Tupi-Joinville</t>
  </si>
  <si>
    <t>Santa Cruz-Confianca</t>
  </si>
  <si>
    <t>Globo-Nautico</t>
  </si>
  <si>
    <t>Acreano-Globo</t>
  </si>
  <si>
    <t>Confianca-Remo</t>
  </si>
  <si>
    <t>Luverdense-Tupi</t>
  </si>
  <si>
    <t>ABC-Salgueiro</t>
  </si>
  <si>
    <t>Joinville-Botafogo SP</t>
  </si>
  <si>
    <t>Bijelo Brdo-Solin</t>
  </si>
  <si>
    <t>NK Dinamo Zagreb 2-Osijek 2</t>
  </si>
  <si>
    <t>Hajduk Split 2-Dragovoljac</t>
  </si>
  <si>
    <t>Lucko-Sesvete</t>
  </si>
  <si>
    <t>Varazdin-Zadar</t>
  </si>
  <si>
    <t>Kustosija-Medjimurje Cakovec</t>
  </si>
  <si>
    <t>Zadar-Kustosija</t>
  </si>
  <si>
    <t>Dragovoljac-Dugopolje</t>
  </si>
  <si>
    <t>Medjimurje Cakovec-Hajduk Split 2</t>
  </si>
  <si>
    <t>Osijek 2-Varazdin</t>
  </si>
  <si>
    <t>Sesvete-Bijelo Brdo</t>
  </si>
  <si>
    <t>Sibenik-Lucko</t>
  </si>
  <si>
    <t>Solin-NK Dinamo Zagreb 2</t>
  </si>
  <si>
    <t>Bijelo Brdo-Sibenik</t>
  </si>
  <si>
    <t>Varazdin-NK Dinamo Zagreb 2</t>
  </si>
  <si>
    <t>Dugopolje-Medjimurje Cakovec</t>
  </si>
  <si>
    <t>Lucko-Dragovoljac</t>
  </si>
  <si>
    <t>Zadar-Hajduk Split 2</t>
  </si>
  <si>
    <t>Kustosija-Osijek 2</t>
  </si>
  <si>
    <t>Sesvete-Solin</t>
  </si>
  <si>
    <t>Sibenik-Sesvete</t>
  </si>
  <si>
    <t>Osijek 2-Hajduk Split 2</t>
  </si>
  <si>
    <t>Medjimurje Cakovec-Lucko</t>
  </si>
  <si>
    <t>Solin-Varazdin</t>
  </si>
  <si>
    <t>Zadar-Dugopolje</t>
  </si>
  <si>
    <t>NK Dinamo Zagreb 2-Kustosija</t>
  </si>
  <si>
    <t>Dragovoljac-Bijelo Brdo</t>
  </si>
  <si>
    <t>Bijelo Brdo-Medjimurje Cakovec</t>
  </si>
  <si>
    <t>Dugopolje-Osijek 2</t>
  </si>
  <si>
    <t>Lucko-Zadar</t>
  </si>
  <si>
    <t>Hajduk Split 2-NK Dinamo Zagreb 2</t>
  </si>
  <si>
    <t>Sibenik-Solin</t>
  </si>
  <si>
    <t>Kustosija-Varazdin</t>
  </si>
  <si>
    <t>Sesvete-Dragovoljac</t>
  </si>
  <si>
    <t>NK Dinamo Zagreb 2-Dugopolje</t>
  </si>
  <si>
    <t>Varazdin-Hajduk Split 2</t>
  </si>
  <si>
    <t>Solin-Kustosija</t>
  </si>
  <si>
    <t>Zadar-Bijelo Brdo</t>
  </si>
  <si>
    <t>Medjimurje Cakovec-Sesvete</t>
  </si>
  <si>
    <t>Osijek 2-Lucko</t>
  </si>
  <si>
    <t>Dragovoljac-Sibenik</t>
  </si>
  <si>
    <t>Lucko-NK Dinamo Zagreb 2</t>
  </si>
  <si>
    <t>Kustosija-Hajduk Split 2</t>
  </si>
  <si>
    <t>Bijelo Brdo-Osijek 2</t>
  </si>
  <si>
    <t>Sibenik-Medjimurje Cakovec</t>
  </si>
  <si>
    <t>Dugopolje-Varazdin</t>
  </si>
  <si>
    <t>Dragovoljac-Solin</t>
  </si>
  <si>
    <t>Sesvete-Zadar</t>
  </si>
  <si>
    <t>Osijek 2-Sesvete</t>
  </si>
  <si>
    <t>Varazdin-Lucko</t>
  </si>
  <si>
    <t>Karvina U19-Hradec Kralove U19</t>
  </si>
  <si>
    <t>Jihlava U19-Plzen U19</t>
  </si>
  <si>
    <t>Sigma Olomouc U19-Mlada Boleslav U19</t>
  </si>
  <si>
    <t>Ceske Budejovice U19-Sparta Prague U19</t>
  </si>
  <si>
    <t>Ostrava U19-Slovacko U19</t>
  </si>
  <si>
    <t>Pribram U19-Slavia Prague U19</t>
  </si>
  <si>
    <t>FC Fastav Zlin U19-Brno U19</t>
  </si>
  <si>
    <t>Brno U19-Pribram U19</t>
  </si>
  <si>
    <t>Plzen U19-FC Fastav Zlin U19</t>
  </si>
  <si>
    <t>Sparta Prague U19-FK Pardubice U19</t>
  </si>
  <si>
    <t>Ceske Budejovice U19-Karvina U19</t>
  </si>
  <si>
    <t>Slovacko U19-Sigma Olomouc U19</t>
  </si>
  <si>
    <t>Hradec Kralove U19-Ostrava U19</t>
  </si>
  <si>
    <t>Mlada Boleslav U19-Jihlava U19</t>
  </si>
  <si>
    <t>Slavia Prague U19-Dukla Prague U19</t>
  </si>
  <si>
    <t>Slavia Prague U19-Karvina U19</t>
  </si>
  <si>
    <t>Mlada Boleslav U19-Slovacko U19</t>
  </si>
  <si>
    <t>Sparta Prague U19-FC Fastav Zlin U19</t>
  </si>
  <si>
    <t>Brno U19-Ceske Budejovice U19</t>
  </si>
  <si>
    <t>FK Pardubice U19-Ostrava U19</t>
  </si>
  <si>
    <t>Plzen U19-Hradec Kralove U19</t>
  </si>
  <si>
    <t>Dukla Prague U19-Sigma Olomouc U19</t>
  </si>
  <si>
    <t>Pribram U19-Jihlava U19</t>
  </si>
  <si>
    <t>Karvina U19-Sparta Prague U19</t>
  </si>
  <si>
    <t>Sparta Prague U19-Plzen U19</t>
  </si>
  <si>
    <t>Slavia Prague U19-FK Pardubice U19</t>
  </si>
  <si>
    <t>Mlada Boleslav U19-FC Fastav Zlin U19</t>
  </si>
  <si>
    <t>Brno U19-Dukla Prague U19</t>
  </si>
  <si>
    <t>Hradec Kralove U19-Sigma Olomouc U19</t>
  </si>
  <si>
    <t>Plzen U19-Pribram U19</t>
  </si>
  <si>
    <t>Slovacko U19-Jihlava U19</t>
  </si>
  <si>
    <t>Ceske Budejovice U19-Ostrava U19</t>
  </si>
  <si>
    <t>Sigma Olomouc U19-Ceske Budejovice U19</t>
  </si>
  <si>
    <t>FK Pardubice U19-Brno U19</t>
  </si>
  <si>
    <t>Jihlava U19-Hradec Kralove U19</t>
  </si>
  <si>
    <t>Pribram U19-Mlada Boleslav U19</t>
  </si>
  <si>
    <t>Sparta Prague U19-Slavia Prague U19</t>
  </si>
  <si>
    <t>FC Fastav Zlin U19-Slovacko U19</t>
  </si>
  <si>
    <t>Dukla Prague U19-Plzen U19</t>
  </si>
  <si>
    <t>Ostrava U19-Karvina U19</t>
  </si>
  <si>
    <t>Ostrava U19-Sparta Prague U19</t>
  </si>
  <si>
    <t>Slovacko U19-Pribram U19</t>
  </si>
  <si>
    <t>Brno U19-Slavia Prague U19</t>
  </si>
  <si>
    <t>Hradec Kralove U19-FC Fastav Zlin U19</t>
  </si>
  <si>
    <t>Karvina U19-Sigma Olomouc U19</t>
  </si>
  <si>
    <t>Mlada Boleslav U19-Dukla Prague U19</t>
  </si>
  <si>
    <t>Plzen U19-FK Pardubice U19</t>
  </si>
  <si>
    <t>Ceske Budejovice U19-Jihlava U19</t>
  </si>
  <si>
    <t>Jihlava U19-Karvina U19</t>
  </si>
  <si>
    <t>Pribram U19-Hradec Kralove U19</t>
  </si>
  <si>
    <t>Marienlyst-Hillerod</t>
  </si>
  <si>
    <t>B.93-Hellerup</t>
  </si>
  <si>
    <t>Bronshoj-Skovshoved</t>
  </si>
  <si>
    <t>Middelfart-AB Copenhagen</t>
  </si>
  <si>
    <t>Vanlose-Slagelse B&amp;I</t>
  </si>
  <si>
    <t>AB Copenhagen-Marienlyst</t>
  </si>
  <si>
    <t>Slagelse B&amp;I-Middelfart</t>
  </si>
  <si>
    <t>BK Frem-Hellerup</t>
  </si>
  <si>
    <t>Hillerod-B.93</t>
  </si>
  <si>
    <t>Skovshoved-Avarta</t>
  </si>
  <si>
    <t>Vanlose-Bronshoj</t>
  </si>
  <si>
    <t>Hellerup-Avarta</t>
  </si>
  <si>
    <t>Avarta-Vanlose</t>
  </si>
  <si>
    <t>B.93-Slagelse B&amp;I</t>
  </si>
  <si>
    <t>Bronshoj-AB Copenhagen</t>
  </si>
  <si>
    <t>Marienlyst-BK Frem</t>
  </si>
  <si>
    <t>Middelfart-Skovshoved</t>
  </si>
  <si>
    <t>Hellerup-Hillerod</t>
  </si>
  <si>
    <t>Vanlose-Middelfart</t>
  </si>
  <si>
    <t>AB Copenhagen-Skovshoved</t>
  </si>
  <si>
    <t>Slagelse B&amp;I-Hillerod</t>
  </si>
  <si>
    <t>BK Frem-B.93</t>
  </si>
  <si>
    <t>B.93-AB Copenhagen</t>
  </si>
  <si>
    <t>Hillerod-BK Frem</t>
  </si>
  <si>
    <t>Marienlyst-Avarta</t>
  </si>
  <si>
    <t>Middelfart-Bronshoj</t>
  </si>
  <si>
    <t>Hellerup-Slagelse B&amp;I</t>
  </si>
  <si>
    <t>Skovshoved-Vanlose</t>
  </si>
  <si>
    <t>AB Copenhagen-Hillerod</t>
  </si>
  <si>
    <t>Slagelse B&amp;I-Skovshoved</t>
  </si>
  <si>
    <t>Avarta-B.93</t>
  </si>
  <si>
    <t>Bronshoj-Hellerup</t>
  </si>
  <si>
    <t>Middelfart-BK Frem</t>
  </si>
  <si>
    <t>Vanlose-Marienlyst</t>
  </si>
  <si>
    <t>BK Frem-Bronshoj</t>
  </si>
  <si>
    <t>B.93-Vanlose</t>
  </si>
  <si>
    <t>Hellerup-AB Copenhagen</t>
  </si>
  <si>
    <t>Marienlyst-Middelfart</t>
  </si>
  <si>
    <t>Skovshoved-Hillerod</t>
  </si>
  <si>
    <t>Slagelse B&amp;I-Avarta</t>
  </si>
  <si>
    <t>AB Copenhagen-Slagelse B&amp;I</t>
  </si>
  <si>
    <t>Avarta-Middelfart</t>
  </si>
  <si>
    <t>BK Frem-Vanlose</t>
  </si>
  <si>
    <t>Hillerod-Bronshoj</t>
  </si>
  <si>
    <t>Marienlyst-B.93</t>
  </si>
  <si>
    <t>Hellerup-Skovshoved</t>
  </si>
  <si>
    <t>AB Copenhagen-BK Frem</t>
  </si>
  <si>
    <t>Slagelse B&amp;I-Marienlyst</t>
  </si>
  <si>
    <t>Bronshoj-Avarta</t>
  </si>
  <si>
    <t>Middelfart-Hellerup</t>
  </si>
  <si>
    <t>Pyramids-Petrojet</t>
  </si>
  <si>
    <t>Al Ittihad-El Gounah</t>
  </si>
  <si>
    <t>Enppi-Haras El Hodood</t>
  </si>
  <si>
    <t>Misr Elmaqasah-El Daklyeh</t>
  </si>
  <si>
    <t>Nogoom FC-El-Entag El-Harby</t>
  </si>
  <si>
    <t>El Masry-El Gaish</t>
  </si>
  <si>
    <t>Al Ittihad-Wadi Degla</t>
  </si>
  <si>
    <t>Wadi Degla-Enppi</t>
  </si>
  <si>
    <t>Zamalek-Arab Contractors</t>
  </si>
  <si>
    <t>Haras El Hodood-Nogoom FC</t>
  </si>
  <si>
    <t>El Ismaily-Smouha</t>
  </si>
  <si>
    <t>Petrojet-El Gounah</t>
  </si>
  <si>
    <t>El-Entag El-Harby-Misr Elmaqasah</t>
  </si>
  <si>
    <t>El Daklyeh-Al Ittihad</t>
  </si>
  <si>
    <t>Nogoom FC-Wadi Degla</t>
  </si>
  <si>
    <t>Smouha-Zamalek</t>
  </si>
  <si>
    <t>El Gaish-El Ismaily</t>
  </si>
  <si>
    <t>Arab Contractors-Pyramids</t>
  </si>
  <si>
    <t>Misr Elmaqasah-Haras El Hodood</t>
  </si>
  <si>
    <t>Al Ittihad-El-Entag El-Harby</t>
  </si>
  <si>
    <t>Petrojet-El Daklyeh</t>
  </si>
  <si>
    <t>Zamalek-El Gaish</t>
  </si>
  <si>
    <t>El Ismaily-Enppi</t>
  </si>
  <si>
    <t>Pyramids-El Gounah</t>
  </si>
  <si>
    <t>Wadi Degla-Misr Elmaqasah</t>
  </si>
  <si>
    <t>Arab Contractors-Smouha</t>
  </si>
  <si>
    <t>El-Entag El-Harby-Petrojet</t>
  </si>
  <si>
    <t>Haras El Hodood-Al Ittihad</t>
  </si>
  <si>
    <t>El Masry-Nogoom FC</t>
  </si>
  <si>
    <t>Misr Elmaqasah-El Masry</t>
  </si>
  <si>
    <t>Al Ahly-El-Entag El-Harby</t>
  </si>
  <si>
    <t>Smouha-Pyramids</t>
  </si>
  <si>
    <t>Enppi-Zamalek</t>
  </si>
  <si>
    <t>El Gounah-El Daklyeh</t>
  </si>
  <si>
    <t>El Gaish-Arab Contractors</t>
  </si>
  <si>
    <t>Nogoom FC-El Ismaily</t>
  </si>
  <si>
    <t>Petrojet-Haras El Hodood</t>
  </si>
  <si>
    <t>Zamalek-Nogoom FC</t>
  </si>
  <si>
    <t>El-Entag El-Harby-El Gounah</t>
  </si>
  <si>
    <t>Pyramids-El Daklyeh</t>
  </si>
  <si>
    <t>Smouha-El Gaish</t>
  </si>
  <si>
    <t>El Masry-Al Ittihad</t>
  </si>
  <si>
    <t>Haras El Hodood-Al Ahly</t>
  </si>
  <si>
    <t>El Ismaily-Misr Elmaqasah</t>
  </si>
  <si>
    <t>Arab Contractors-Enppi</t>
  </si>
  <si>
    <t>Al Ahly-Wadi Degla</t>
  </si>
  <si>
    <t>Al Ittihad-El Ismaily</t>
  </si>
  <si>
    <t>Misr Elmaqasah-Zamalek</t>
  </si>
  <si>
    <t>Nogoom FC-Arab Contractors</t>
  </si>
  <si>
    <t>El Gaish-Pyramids</t>
  </si>
  <si>
    <t>Stoke-Bristol City</t>
  </si>
  <si>
    <t>Wigan-Sheffield Utd</t>
  </si>
  <si>
    <t>Birmingham-Brentford</t>
  </si>
  <si>
    <t>Bolton-Stoke</t>
  </si>
  <si>
    <t>Bristol City-Rotherham</t>
  </si>
  <si>
    <t>Leeds-Hull</t>
  </si>
  <si>
    <t>Middlesbrough-Ipswich</t>
  </si>
  <si>
    <t>Millwall-Nottingham</t>
  </si>
  <si>
    <t>Norwich-Derby</t>
  </si>
  <si>
    <t>Preston-Aston Villa</t>
  </si>
  <si>
    <t>QPR-Reading</t>
  </si>
  <si>
    <t>Sheffield Utd-Blackburn</t>
  </si>
  <si>
    <t>Swansea-Wigan</t>
  </si>
  <si>
    <t>West Brom-Sheffield Wed</t>
  </si>
  <si>
    <t>Birmingham-Stoke</t>
  </si>
  <si>
    <t>Bolton-Rotherham</t>
  </si>
  <si>
    <t>Bristol City-Brentford</t>
  </si>
  <si>
    <t>Leeds-Blackburn</t>
  </si>
  <si>
    <t>Middlesbrough-Sheffield Wed</t>
  </si>
  <si>
    <t>Millwall-Reading</t>
  </si>
  <si>
    <t>Norwich-Nottingham</t>
  </si>
  <si>
    <t>Preston-Hull</t>
  </si>
  <si>
    <t>QPR-Ipswich</t>
  </si>
  <si>
    <t>Sheffield Utd-Derby</t>
  </si>
  <si>
    <t>Swansea-Aston Villa</t>
  </si>
  <si>
    <t>West Brom-Wigan</t>
  </si>
  <si>
    <t>Aston Villa-Leeds</t>
  </si>
  <si>
    <t>Hull-Swansea</t>
  </si>
  <si>
    <t>Blackburn-Norwich</t>
  </si>
  <si>
    <t>Brentford-Bolton</t>
  </si>
  <si>
    <t>Derby-Bristol City</t>
  </si>
  <si>
    <t>Ipswich-Sheffield Utd</t>
  </si>
  <si>
    <t>Nottingham-QPR</t>
  </si>
  <si>
    <t>Reading-Middlesbrough</t>
  </si>
  <si>
    <t>Rotherham-West Brom</t>
  </si>
  <si>
    <t>Sheffield Wed-Preston</t>
  </si>
  <si>
    <t>Stoke-Millwall</t>
  </si>
  <si>
    <t>Wigan-Birmingham</t>
  </si>
  <si>
    <t>Derby-Nottingham</t>
  </si>
  <si>
    <t>Bristol City-Norwich</t>
  </si>
  <si>
    <t>Aston Villa-Stoke</t>
  </si>
  <si>
    <t>Blackburn-Birmingham</t>
  </si>
  <si>
    <t>Bolton-Leeds</t>
  </si>
  <si>
    <t>Hull-Brentford</t>
  </si>
  <si>
    <t>Ipswich-Wigan</t>
  </si>
  <si>
    <t>Preston-Millwall</t>
  </si>
  <si>
    <t>QPR-Middlesbrough</t>
  </si>
  <si>
    <t>Rotherham-Reading</t>
  </si>
  <si>
    <t>Swansea-Sheffield Wed</t>
  </si>
  <si>
    <t>Sheffield Utd-West Brom</t>
  </si>
  <si>
    <t>Bristol Rovers-Sunderland</t>
  </si>
  <si>
    <t>Bury-Portsmouth</t>
  </si>
  <si>
    <t>Bristol Rovers-Port Vale</t>
  </si>
  <si>
    <t>Bury-Oxford Utd</t>
  </si>
  <si>
    <t>Sunderland-Manchester City U21</t>
  </si>
  <si>
    <t>Portsmouth-Peterborough</t>
  </si>
  <si>
    <t>Chelsea U21-Peterborough</t>
  </si>
  <si>
    <t>Accrington-Bury</t>
  </si>
  <si>
    <t>Cheltenham-Oxford Utd</t>
  </si>
  <si>
    <t>Northampton-Bristol Rovers</t>
  </si>
  <si>
    <t>Port Vale-Shrewsbury</t>
  </si>
  <si>
    <t>Southend-Portsmouth</t>
  </si>
  <si>
    <t>Sunderland-Newcastle Utd U21</t>
  </si>
  <si>
    <t>Rochdale-Manchester City U21</t>
  </si>
  <si>
    <t>Oxford Utd-Tottenham U21</t>
  </si>
  <si>
    <t>Rochdale-Oldham</t>
  </si>
  <si>
    <t>Luton-Southend</t>
  </si>
  <si>
    <t>Swansea U21-Bristol Rovers</t>
  </si>
  <si>
    <t>Shrewsbury-Walsall</t>
  </si>
  <si>
    <t>Accrington-Lincoln</t>
  </si>
  <si>
    <t>Cambridge Utd-Northampton</t>
  </si>
  <si>
    <t>Cheltenham-Newport Co</t>
  </si>
  <si>
    <t>Mansfield-Bury</t>
  </si>
  <si>
    <t>Port Vale-Stoke City U21</t>
  </si>
  <si>
    <t>Portsmouth-Arsenal U21</t>
  </si>
  <si>
    <t>Sunderland-Notts Co</t>
  </si>
  <si>
    <t>Barnsley-Manchester City U21</t>
  </si>
  <si>
    <t>Exeter-Peterborough</t>
  </si>
  <si>
    <t>Chelsea U21-AFC Wimbledon</t>
  </si>
  <si>
    <t>Newcastle Utd U21-Macclesfield</t>
  </si>
  <si>
    <t>Notts Co-Doncaster</t>
  </si>
  <si>
    <t>Southend-Southampton U21</t>
  </si>
  <si>
    <t>Blackpool-Accrington</t>
  </si>
  <si>
    <t>Bury-Fleetwood</t>
  </si>
  <si>
    <t>Carlisle-Stoke City U21</t>
  </si>
  <si>
    <t>Charlton-Swansea U21</t>
  </si>
  <si>
    <t>Cheltenham-Coventry</t>
  </si>
  <si>
    <t>Exeter-Bristol Rovers</t>
  </si>
  <si>
    <t>Gillingham-Crawley</t>
  </si>
  <si>
    <t>Grimsby-Newcastle Utd U21</t>
  </si>
  <si>
    <t>Macclesfield-West Brom U21</t>
  </si>
  <si>
    <t>Mansfield-Scunthorpe</t>
  </si>
  <si>
    <t>MK Dons-Brighton U21</t>
  </si>
  <si>
    <t>Morecambe-Sunderland</t>
  </si>
  <si>
    <t>Newport Co-Plymouth</t>
  </si>
  <si>
    <t>Peterborough-Luton</t>
  </si>
  <si>
    <t>Portsmouth-Tottenham U21</t>
  </si>
  <si>
    <t>Barnsley-Bradford City</t>
  </si>
  <si>
    <t>Crewe-Shrewsbury</t>
  </si>
  <si>
    <t>Cambridge Utd-Colchester</t>
  </si>
  <si>
    <t>Midtjylland (Den) -FC Astana (Kaz)</t>
  </si>
  <si>
    <t>Qarabag (Aze) -Kukesi (Alb)</t>
  </si>
  <si>
    <t>HJK (Fin) -BATE (Blr)</t>
  </si>
  <si>
    <t>Trnava (Svk) -Legia (Pol)</t>
  </si>
  <si>
    <t>H. Beer Sheva (Isr) -D. Zagreb (Cro)</t>
  </si>
  <si>
    <t>Sheriff Tiraspol (Mda) -Shkendija (Mkd)</t>
  </si>
  <si>
    <t>Celtic (Sco) -Rosenborg (Nor)</t>
  </si>
  <si>
    <t>Ajax (Ned) -Sturm Graz (Aut)</t>
  </si>
  <si>
    <t>BATE (Blr) -HJK (Fin)</t>
  </si>
  <si>
    <t>Kukesi (Alb) -Qarabag (Aze)</t>
  </si>
  <si>
    <t>Ludogorets (Bul) -MOL Vidi (Hun)</t>
  </si>
  <si>
    <t>Legia (Pol) -Trnava (Svk)</t>
  </si>
  <si>
    <t>FK Crvena zvezda (Srb) -Suduva (Ltu)</t>
  </si>
  <si>
    <t>Shkendija (Mkd) -Sheriff Tiraspol (Mda)</t>
  </si>
  <si>
    <t>D. Zagreb (Cro) -H. Beer Sheva (Isr)</t>
  </si>
  <si>
    <t>PAOK (Gre) -Basel (Sui)</t>
  </si>
  <si>
    <t>CFR Cluj (Rou) -Malmo FF (Swe)</t>
  </si>
  <si>
    <t>FC Astana (Kaz) -Midtjylland (Den)</t>
  </si>
  <si>
    <t>Celtic (Sco) -Alashkert (Arm)</t>
  </si>
  <si>
    <t>Sutjeska (Mne) -FC Astana (Kaz)</t>
  </si>
  <si>
    <t>Rosenborg (Nor) -Valur (Ice)</t>
  </si>
  <si>
    <t>Qarabag (Aze) -NK Olimpija Ljubljana (Slo)</t>
  </si>
  <si>
    <t>Sheriff Tiraspol (Mda) -Torpedo Kutaisi (Geo)</t>
  </si>
  <si>
    <t>Zrinjski (Bih) -Trnava (Svk)</t>
  </si>
  <si>
    <t>Crusaders (Nir) -Ludogorets (Bul)</t>
  </si>
  <si>
    <t>Legia (Pol) -Cork City (Irl)</t>
  </si>
  <si>
    <t>FK Crvena zvezda (Srb) -Spartaks (Lat)</t>
  </si>
  <si>
    <t>MOL Vidi (Hun) -Dudelange (Lux)</t>
  </si>
  <si>
    <t>TNS (Wal) -Shkendija (Mkd)</t>
  </si>
  <si>
    <t>APOEL (Cyp) -Suduva (Ltu)</t>
  </si>
  <si>
    <t>H. Beer Sheva (Isr) -Flora (Est)</t>
  </si>
  <si>
    <t>Malmo FF (Swe) -Drita (Kos)</t>
  </si>
  <si>
    <t>HJK (Fin) -Vikingur (Fai)</t>
  </si>
  <si>
    <t>Valletta (Mlt) -Kukesi (Alb)</t>
  </si>
  <si>
    <t>Valur (Ice) -Rosenborg (Nor)</t>
  </si>
  <si>
    <t>NK Olimpija Ljubljana (Slo) -Qarabag (Aze)</t>
  </si>
  <si>
    <t>Kukesi (Alb) -Valletta (Mlt)</t>
  </si>
  <si>
    <t>Ludogorets (Bul) -Crusaders (Nir)</t>
  </si>
  <si>
    <t>Spartaks (Lat) -FK Crvena zvezda (Srb)</t>
  </si>
  <si>
    <t>Suduva (Ltu) -APOEL (Cyp)</t>
  </si>
  <si>
    <t>Trnava (Svk) -Zrinjski (Bih)</t>
  </si>
  <si>
    <t>FC Astana (Kaz) -Sutjeska (Mne)</t>
  </si>
  <si>
    <t>Cork City (Irl) -Legia (Pol)</t>
  </si>
  <si>
    <t>Drita (Kos) -Malmo FF (Swe)</t>
  </si>
  <si>
    <t>Shkendija (Mkd) -TNS (Wal)</t>
  </si>
  <si>
    <t>Vikingur (Fai) -HJK (Fin)</t>
  </si>
  <si>
    <t>Alashkert (Arm) -Celtic (Sco)</t>
  </si>
  <si>
    <t>Dudelange (Lux) -MOL Vidi (Hun)</t>
  </si>
  <si>
    <t>Flora (Est) -H. Beer Sheva (Isr)</t>
  </si>
  <si>
    <t>Torpedo Kutaisi (Geo) -Sheriff Tiraspol (Mda)</t>
  </si>
  <si>
    <t>H</t>
  </si>
  <si>
    <t>A</t>
  </si>
  <si>
    <t>0</t>
  </si>
  <si>
    <t>1</t>
  </si>
  <si>
    <t>2</t>
  </si>
  <si>
    <t>3</t>
  </si>
  <si>
    <t>4</t>
  </si>
  <si>
    <t>Total</t>
  </si>
  <si>
    <t>Win</t>
  </si>
  <si>
    <t>%</t>
  </si>
  <si>
    <t>Last row</t>
  </si>
  <si>
    <t>p/l</t>
  </si>
  <si>
    <t>stake</t>
  </si>
  <si>
    <t>P/L</t>
  </si>
  <si>
    <t>&gt;=1.4</t>
  </si>
  <si>
    <t>&lt;=1.5</t>
  </si>
  <si>
    <t>&lt;0</t>
  </si>
  <si>
    <t>Africa</t>
  </si>
  <si>
    <t>Africa Cup of Nations U20</t>
  </si>
  <si>
    <t>CAF African Championship U17 2017</t>
  </si>
  <si>
    <t>Albania</t>
  </si>
  <si>
    <t>Super League</t>
  </si>
  <si>
    <t>Andorra</t>
  </si>
  <si>
    <t>Primera Divisió</t>
  </si>
  <si>
    <t>Argentina</t>
  </si>
  <si>
    <t>Primera B Nacional</t>
  </si>
  <si>
    <t>Asia</t>
  </si>
  <si>
    <t>AFC Champions League</t>
  </si>
  <si>
    <t>Australia</t>
  </si>
  <si>
    <t>A-League</t>
  </si>
  <si>
    <t>Austria</t>
  </si>
  <si>
    <t>Tipico Bundesliga</t>
  </si>
  <si>
    <t>Belarus</t>
  </si>
  <si>
    <t>Vysshaya Liga 2018</t>
  </si>
  <si>
    <t>Belgium</t>
  </si>
  <si>
    <t>Second Amateur Division Group VFV A</t>
  </si>
  <si>
    <t>Bolivia</t>
  </si>
  <si>
    <t>Division Profesional</t>
  </si>
  <si>
    <t>Cyprus</t>
  </si>
  <si>
    <t>First Division</t>
  </si>
  <si>
    <t>Brazil</t>
  </si>
  <si>
    <t>Serie C 2018</t>
  </si>
  <si>
    <t>Croatia</t>
  </si>
  <si>
    <t>2. HNL 2018/2019</t>
  </si>
  <si>
    <t>Czech Republic</t>
  </si>
  <si>
    <t>U19 League</t>
  </si>
  <si>
    <t>Denmark</t>
  </si>
  <si>
    <t>2nd Division - Group 2</t>
  </si>
  <si>
    <t>Egypt</t>
  </si>
  <si>
    <t>Premier League</t>
  </si>
  <si>
    <t>England</t>
  </si>
  <si>
    <t>Championship</t>
  </si>
  <si>
    <t>EFL Trophy</t>
  </si>
  <si>
    <t>Europe</t>
  </si>
  <si>
    <t>Champions League</t>
  </si>
  <si>
    <t>Country</t>
  </si>
  <si>
    <t>*** Test idea that computing the odds_1 value should be done on the basis of past 30 days results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</si>
</sst>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20" fontId="2" fillId="0" borderId="0" xfId="0" applyNumberFormat="1" applyFont="1"/>
    <xf numFmtId="0" fontId="2" fillId="0" borderId="0" xfId="0" applyFont="1" applyAlignment="1">
      <alignment horizontal="left"/>
    </xf>
    <xf numFmtId="1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/>
    <xf numFmtId="0" fontId="2" fillId="0" borderId="0" xfId="0" applyNumberFormat="1" applyFont="1"/>
    <xf numFmtId="0" fontId="2" fillId="0" borderId="0" xfId="0" applyFont="1" applyBorder="1"/>
    <xf numFmtId="0" fontId="2" fillId="0" borderId="1" xfId="0" applyFont="1" applyBorder="1"/>
    <xf numFmtId="43" fontId="2" fillId="0" borderId="1" xfId="1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0" xfId="0" applyFont="1" applyBorder="1" applyAlignment="1">
      <alignment horizontal="center"/>
    </xf>
    <xf numFmtId="43" fontId="2" fillId="0" borderId="0" xfId="1" applyFont="1" applyBorder="1"/>
    <xf numFmtId="0" fontId="2" fillId="3" borderId="0" xfId="0" applyFont="1" applyFill="1" applyAlignment="1">
      <alignment horizontal="center"/>
    </xf>
    <xf numFmtId="16" fontId="2" fillId="3" borderId="0" xfId="0" quotePrefix="1" applyNumberFormat="1" applyFont="1" applyFill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10" fontId="2" fillId="0" borderId="1" xfId="2" applyNumberFormat="1" applyFont="1" applyBorder="1"/>
    <xf numFmtId="0" fontId="2" fillId="0" borderId="1" xfId="0" quotePrefix="1" applyFont="1" applyBorder="1"/>
    <xf numFmtId="43" fontId="0" fillId="0" borderId="0" xfId="0" applyNumberFormat="1"/>
    <xf numFmtId="0" fontId="3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9525</xdr:rowOff>
        </xdr:from>
        <xdr:to>
          <xdr:col>10</xdr:col>
          <xdr:colOff>600075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Filter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990"/>
  <sheetViews>
    <sheetView tabSelected="1" zoomScale="90" zoomScaleNormal="90" workbookViewId="0">
      <pane ySplit="12" topLeftCell="A27" activePane="bottomLeft" state="frozen"/>
      <selection pane="bottomLeft" activeCell="M2" sqref="M2"/>
    </sheetView>
  </sheetViews>
  <sheetFormatPr defaultRowHeight="15" x14ac:dyDescent="0.25"/>
  <cols>
    <col min="1" max="1" width="14" style="1" bestFit="1" customWidth="1"/>
    <col min="2" max="2" width="34.42578125" style="3" bestFit="1" customWidth="1"/>
    <col min="3" max="3" width="9.7109375" style="1" bestFit="1" customWidth="1"/>
    <col min="4" max="4" width="5.42578125" style="1" bestFit="1" customWidth="1"/>
    <col min="5" max="5" width="41.42578125" style="5" bestFit="1" customWidth="1"/>
    <col min="6" max="6" width="6.5703125" style="5" customWidth="1"/>
    <col min="7" max="7" width="9.85546875" style="1" bestFit="1" customWidth="1"/>
    <col min="8" max="9" width="7.42578125" style="1" bestFit="1" customWidth="1"/>
    <col min="10" max="10" width="10.7109375" style="1" customWidth="1"/>
    <col min="11" max="11" width="9.140625" style="7"/>
    <col min="12" max="12" width="10.7109375" style="7" bestFit="1" customWidth="1"/>
    <col min="13" max="13" width="10" bestFit="1" customWidth="1"/>
    <col min="14" max="14" width="7.5703125" style="1" bestFit="1" customWidth="1"/>
    <col min="15" max="15" width="2.140625" style="1" customWidth="1"/>
    <col min="16" max="16384" width="9.140625" style="1"/>
  </cols>
  <sheetData>
    <row r="1" spans="1:14" ht="15.75" thickBot="1" x14ac:dyDescent="0.3">
      <c r="A1" s="11" t="s">
        <v>986</v>
      </c>
      <c r="B1" s="12">
        <f>SUMPRODUCT(MAX(($A:$A&lt;&gt;"")*(ROW(A:A))))</f>
        <v>989</v>
      </c>
      <c r="G1" s="15" t="s">
        <v>4</v>
      </c>
      <c r="H1" s="15" t="s">
        <v>4</v>
      </c>
      <c r="I1" s="16" t="s">
        <v>51</v>
      </c>
      <c r="J1" s="7"/>
      <c r="M1" s="21">
        <v>50</v>
      </c>
    </row>
    <row r="2" spans="1:14" x14ac:dyDescent="0.25">
      <c r="G2" s="20" t="s">
        <v>990</v>
      </c>
      <c r="H2" s="9" t="s">
        <v>991</v>
      </c>
      <c r="I2" s="9" t="s">
        <v>992</v>
      </c>
      <c r="J2" s="7"/>
    </row>
    <row r="3" spans="1:14" x14ac:dyDescent="0.25">
      <c r="A3" s="22" t="s">
        <v>1032</v>
      </c>
      <c r="J3" s="7"/>
      <c r="N3" s="8"/>
    </row>
    <row r="4" spans="1:14" x14ac:dyDescent="0.25">
      <c r="J4" s="7"/>
    </row>
    <row r="5" spans="1:14" ht="12.75" x14ac:dyDescent="0.2">
      <c r="G5" s="17" t="s">
        <v>983</v>
      </c>
      <c r="H5" s="17" t="s">
        <v>984</v>
      </c>
      <c r="I5" s="18" t="s">
        <v>985</v>
      </c>
      <c r="J5" s="18" t="s">
        <v>989</v>
      </c>
      <c r="K5" s="1"/>
      <c r="L5" s="1"/>
      <c r="M5" s="1"/>
    </row>
    <row r="6" spans="1:14" ht="12.75" x14ac:dyDescent="0.2">
      <c r="G6" s="9">
        <f>SUBTOTAL(2,C13:C2000)</f>
        <v>977</v>
      </c>
      <c r="H6" s="9">
        <f ca="1">SUMPRODUCT(SUBTOTAL(3,OFFSET(L12:L989,ROW(L12:L989)-MIN(ROW(L12:L989)),,1)), --(L12:L989=H5))</f>
        <v>458</v>
      </c>
      <c r="I6" s="19">
        <f ca="1">+H6/G6</f>
        <v>0.46878198567041968</v>
      </c>
      <c r="J6" s="10">
        <f>SUBTOTAL(9,M13:M989)</f>
        <v>-179.5</v>
      </c>
      <c r="K6" s="1"/>
      <c r="L6" s="1"/>
      <c r="M6" s="1"/>
    </row>
    <row r="7" spans="1:14" ht="12.75" x14ac:dyDescent="0.2">
      <c r="K7" s="1"/>
      <c r="L7" s="1"/>
      <c r="M7" s="1"/>
    </row>
    <row r="8" spans="1:14" ht="12.75" x14ac:dyDescent="0.2">
      <c r="K8" s="1"/>
      <c r="L8" s="1"/>
      <c r="M8" s="1"/>
    </row>
    <row r="9" spans="1:14" ht="12.75" x14ac:dyDescent="0.2">
      <c r="K9" s="1"/>
      <c r="L9" s="1"/>
      <c r="M9" s="1"/>
    </row>
    <row r="10" spans="1:14" ht="12.75" x14ac:dyDescent="0.2">
      <c r="K10" s="1"/>
      <c r="L10" s="1"/>
      <c r="M10" s="1"/>
    </row>
    <row r="12" spans="1:14" ht="12.75" x14ac:dyDescent="0.2">
      <c r="A12" s="1" t="s">
        <v>1031</v>
      </c>
      <c r="B12" s="1" t="s">
        <v>0</v>
      </c>
      <c r="C12" s="3" t="s">
        <v>1</v>
      </c>
      <c r="D12" s="1" t="s">
        <v>2</v>
      </c>
      <c r="E12" s="1" t="s">
        <v>3</v>
      </c>
      <c r="F12" s="5" t="s">
        <v>976</v>
      </c>
      <c r="G12" s="5" t="s">
        <v>977</v>
      </c>
      <c r="H12" s="15" t="s">
        <v>4</v>
      </c>
      <c r="I12" s="1" t="s">
        <v>5</v>
      </c>
      <c r="J12" s="1" t="s">
        <v>6</v>
      </c>
      <c r="K12" s="16" t="s">
        <v>51</v>
      </c>
      <c r="L12" s="7" t="s">
        <v>52</v>
      </c>
      <c r="M12" s="13" t="s">
        <v>987</v>
      </c>
      <c r="N12" s="8" t="s">
        <v>988</v>
      </c>
    </row>
    <row r="13" spans="1:14" ht="12.75" x14ac:dyDescent="0.2">
      <c r="A13" s="1" t="s">
        <v>993</v>
      </c>
      <c r="B13" s="3" t="s">
        <v>995</v>
      </c>
      <c r="C13" s="4">
        <v>42869</v>
      </c>
      <c r="D13" s="2">
        <v>0.75</v>
      </c>
      <c r="E13" s="1" t="s">
        <v>67</v>
      </c>
      <c r="F13" s="5">
        <v>0</v>
      </c>
      <c r="G13" s="5">
        <v>4</v>
      </c>
      <c r="H13" s="1">
        <v>4.8</v>
      </c>
      <c r="I13" s="1">
        <v>3.3</v>
      </c>
      <c r="J13" s="1">
        <v>1.81</v>
      </c>
      <c r="K13" s="6">
        <f>+H13-J13</f>
        <v>2.9899999999999998</v>
      </c>
      <c r="L13" s="7" t="str">
        <f>IF(F13-G13&gt;0,"Win","Loss")</f>
        <v>Loss</v>
      </c>
      <c r="M13" s="14">
        <f>IF(L13="Win",(H13*N13)-N13,-N13)</f>
        <v>-50</v>
      </c>
      <c r="N13" s="14">
        <f>+$M$1</f>
        <v>50</v>
      </c>
    </row>
    <row r="14" spans="1:14" ht="12.75" x14ac:dyDescent="0.2">
      <c r="A14" s="1" t="s">
        <v>993</v>
      </c>
      <c r="B14" s="3" t="s">
        <v>995</v>
      </c>
      <c r="C14" s="4">
        <v>42869</v>
      </c>
      <c r="D14" s="2">
        <v>0.625</v>
      </c>
      <c r="E14" s="1" t="s">
        <v>68</v>
      </c>
      <c r="F14" s="5">
        <v>1</v>
      </c>
      <c r="G14" s="5">
        <v>5</v>
      </c>
      <c r="H14" s="1">
        <v>2.08</v>
      </c>
      <c r="I14" s="1">
        <v>3.29</v>
      </c>
      <c r="J14" s="1">
        <v>3.56</v>
      </c>
      <c r="K14" s="6">
        <f>+H14-J14</f>
        <v>-1.48</v>
      </c>
      <c r="L14" s="7" t="str">
        <f>IF(F14-G14&gt;0,"Win","Loss")</f>
        <v>Loss</v>
      </c>
      <c r="M14" s="14">
        <f t="shared" ref="M14:M77" si="0">IF(L14="Win",(H14*N14)-N14,-N14)</f>
        <v>-50</v>
      </c>
      <c r="N14" s="14">
        <f t="shared" ref="N14:N77" si="1">+$M$1</f>
        <v>50</v>
      </c>
    </row>
    <row r="15" spans="1:14" ht="12.75" x14ac:dyDescent="0.2">
      <c r="A15" s="1" t="s">
        <v>993</v>
      </c>
      <c r="B15" s="3" t="s">
        <v>995</v>
      </c>
      <c r="C15" s="4">
        <v>42870</v>
      </c>
      <c r="D15" s="2">
        <v>0.70833333333333337</v>
      </c>
      <c r="E15" s="1" t="s">
        <v>65</v>
      </c>
      <c r="F15" s="5">
        <v>2</v>
      </c>
      <c r="G15" s="5">
        <v>2</v>
      </c>
      <c r="H15" s="1">
        <v>1.71</v>
      </c>
      <c r="I15" s="1">
        <v>3.67</v>
      </c>
      <c r="J15" s="1">
        <v>4.3899999999999997</v>
      </c>
      <c r="K15" s="6">
        <f>+H15-J15</f>
        <v>-2.6799999999999997</v>
      </c>
      <c r="L15" s="7" t="str">
        <f>IF(F15-G15&gt;0,"Win","Loss")</f>
        <v>Loss</v>
      </c>
      <c r="M15" s="14">
        <f t="shared" si="0"/>
        <v>-50</v>
      </c>
      <c r="N15" s="14">
        <f t="shared" si="1"/>
        <v>50</v>
      </c>
    </row>
    <row r="16" spans="1:14" ht="12.75" x14ac:dyDescent="0.2">
      <c r="A16" s="1" t="s">
        <v>993</v>
      </c>
      <c r="B16" s="3" t="s">
        <v>995</v>
      </c>
      <c r="C16" s="4">
        <v>42870</v>
      </c>
      <c r="D16" s="2">
        <v>0.60416666666666663</v>
      </c>
      <c r="E16" s="1" t="s">
        <v>66</v>
      </c>
      <c r="F16" s="5">
        <v>0</v>
      </c>
      <c r="G16" s="5">
        <v>0</v>
      </c>
      <c r="H16" s="1">
        <v>1.53</v>
      </c>
      <c r="I16" s="1">
        <v>3.5</v>
      </c>
      <c r="J16" s="1">
        <v>5.9</v>
      </c>
      <c r="K16" s="6">
        <f>+H16-J16</f>
        <v>-4.37</v>
      </c>
      <c r="L16" s="7" t="str">
        <f>IF(F16-G16&gt;0,"Win","Loss")</f>
        <v>Loss</v>
      </c>
      <c r="M16" s="14">
        <f t="shared" si="0"/>
        <v>-50</v>
      </c>
      <c r="N16" s="14">
        <f t="shared" si="1"/>
        <v>50</v>
      </c>
    </row>
    <row r="17" spans="1:14" ht="12.75" x14ac:dyDescent="0.2">
      <c r="A17" s="1" t="s">
        <v>993</v>
      </c>
      <c r="B17" s="3" t="s">
        <v>995</v>
      </c>
      <c r="C17" s="4">
        <v>42872</v>
      </c>
      <c r="D17" s="2">
        <v>0.72916666666666663</v>
      </c>
      <c r="E17" s="1" t="s">
        <v>63</v>
      </c>
      <c r="F17" s="5">
        <v>5</v>
      </c>
      <c r="G17" s="5">
        <v>0</v>
      </c>
      <c r="H17" s="1">
        <v>1.21</v>
      </c>
      <c r="I17" s="1">
        <v>7.7</v>
      </c>
      <c r="J17" s="1">
        <v>9.5</v>
      </c>
      <c r="K17" s="6">
        <f>+H17-J17</f>
        <v>-8.2899999999999991</v>
      </c>
      <c r="L17" s="7" t="str">
        <f>IF(F17-G17&gt;0,"Win","Loss")</f>
        <v>Win</v>
      </c>
      <c r="M17" s="14">
        <f t="shared" si="0"/>
        <v>10.5</v>
      </c>
      <c r="N17" s="14">
        <f t="shared" si="1"/>
        <v>50</v>
      </c>
    </row>
    <row r="18" spans="1:14" ht="12.75" x14ac:dyDescent="0.2">
      <c r="A18" s="1" t="s">
        <v>993</v>
      </c>
      <c r="B18" s="3" t="s">
        <v>995</v>
      </c>
      <c r="C18" s="4">
        <v>42872</v>
      </c>
      <c r="D18" s="2">
        <v>0.60416666666666663</v>
      </c>
      <c r="E18" s="1" t="s">
        <v>64</v>
      </c>
      <c r="F18" s="5">
        <v>1</v>
      </c>
      <c r="G18" s="5">
        <v>1</v>
      </c>
      <c r="H18" s="1">
        <v>1.33</v>
      </c>
      <c r="I18" s="1">
        <v>6.7</v>
      </c>
      <c r="J18" s="1">
        <v>6.32</v>
      </c>
      <c r="K18" s="6">
        <f>+H18-J18</f>
        <v>-4.99</v>
      </c>
      <c r="L18" s="7" t="str">
        <f>IF(F18-G18&gt;0,"Win","Loss")</f>
        <v>Loss</v>
      </c>
      <c r="M18" s="14">
        <f t="shared" si="0"/>
        <v>-50</v>
      </c>
      <c r="N18" s="14">
        <f t="shared" si="1"/>
        <v>50</v>
      </c>
    </row>
    <row r="19" spans="1:14" ht="12.75" x14ac:dyDescent="0.2">
      <c r="A19" s="1" t="s">
        <v>993</v>
      </c>
      <c r="B19" s="3" t="s">
        <v>995</v>
      </c>
      <c r="C19" s="4">
        <v>42873</v>
      </c>
      <c r="D19" s="2">
        <v>0.72916666666666663</v>
      </c>
      <c r="E19" s="1" t="s">
        <v>61</v>
      </c>
      <c r="F19" s="5">
        <v>1</v>
      </c>
      <c r="G19" s="5">
        <v>2</v>
      </c>
      <c r="H19" s="1">
        <v>4.71</v>
      </c>
      <c r="I19" s="1">
        <v>3.85</v>
      </c>
      <c r="J19" s="1">
        <v>1.69</v>
      </c>
      <c r="K19" s="6">
        <f>+H19-J19</f>
        <v>3.02</v>
      </c>
      <c r="L19" s="7" t="str">
        <f>IF(F19-G19&gt;0,"Win","Loss")</f>
        <v>Loss</v>
      </c>
      <c r="M19" s="14">
        <f t="shared" si="0"/>
        <v>-50</v>
      </c>
      <c r="N19" s="14">
        <f t="shared" si="1"/>
        <v>50</v>
      </c>
    </row>
    <row r="20" spans="1:14" ht="12.75" x14ac:dyDescent="0.2">
      <c r="A20" s="1" t="s">
        <v>993</v>
      </c>
      <c r="B20" s="3" t="s">
        <v>995</v>
      </c>
      <c r="C20" s="4">
        <v>42873</v>
      </c>
      <c r="D20" s="2">
        <v>0.60416666666666663</v>
      </c>
      <c r="E20" s="1" t="s">
        <v>62</v>
      </c>
      <c r="F20" s="5">
        <v>2</v>
      </c>
      <c r="G20" s="5">
        <v>1</v>
      </c>
      <c r="H20" s="1">
        <v>1.67</v>
      </c>
      <c r="I20" s="1">
        <v>3.6</v>
      </c>
      <c r="J20" s="1">
        <v>5.45</v>
      </c>
      <c r="K20" s="6">
        <f>+H20-J20</f>
        <v>-3.7800000000000002</v>
      </c>
      <c r="L20" s="7" t="str">
        <f>IF(F20-G20&gt;0,"Win","Loss")</f>
        <v>Win</v>
      </c>
      <c r="M20" s="14">
        <f t="shared" si="0"/>
        <v>33.5</v>
      </c>
      <c r="N20" s="14">
        <f t="shared" si="1"/>
        <v>50</v>
      </c>
    </row>
    <row r="21" spans="1:14" ht="12.75" x14ac:dyDescent="0.2">
      <c r="A21" s="1" t="s">
        <v>993</v>
      </c>
      <c r="B21" s="3" t="s">
        <v>995</v>
      </c>
      <c r="C21" s="4">
        <v>42875</v>
      </c>
      <c r="D21" s="2">
        <v>0.72916666666666663</v>
      </c>
      <c r="E21" s="1" t="s">
        <v>59</v>
      </c>
      <c r="F21" s="5">
        <v>0</v>
      </c>
      <c r="G21" s="5">
        <v>1</v>
      </c>
      <c r="H21" s="1">
        <v>13.75</v>
      </c>
      <c r="I21" s="1">
        <v>7.7</v>
      </c>
      <c r="J21" s="1">
        <v>1.17</v>
      </c>
      <c r="K21" s="6">
        <f>+H21-J21</f>
        <v>12.58</v>
      </c>
      <c r="L21" s="7" t="str">
        <f>IF(F21-G21&gt;0,"Win","Loss")</f>
        <v>Loss</v>
      </c>
      <c r="M21" s="14">
        <f t="shared" si="0"/>
        <v>-50</v>
      </c>
      <c r="N21" s="14">
        <f t="shared" si="1"/>
        <v>50</v>
      </c>
    </row>
    <row r="22" spans="1:14" ht="12.75" x14ac:dyDescent="0.2">
      <c r="A22" s="1" t="s">
        <v>993</v>
      </c>
      <c r="B22" s="3" t="s">
        <v>995</v>
      </c>
      <c r="C22" s="4">
        <v>42875</v>
      </c>
      <c r="D22" s="2">
        <v>0.72916666666666663</v>
      </c>
      <c r="E22" s="1" t="s">
        <v>60</v>
      </c>
      <c r="F22" s="5">
        <v>0</v>
      </c>
      <c r="G22" s="5">
        <v>0</v>
      </c>
      <c r="H22" s="1">
        <v>8.0500000000000007</v>
      </c>
      <c r="I22" s="1">
        <v>6.1</v>
      </c>
      <c r="J22" s="1">
        <v>1.29</v>
      </c>
      <c r="K22" s="6">
        <f>+H22-J22</f>
        <v>6.7600000000000007</v>
      </c>
      <c r="L22" s="7" t="str">
        <f>IF(F22-G22&gt;0,"Win","Loss")</f>
        <v>Loss</v>
      </c>
      <c r="M22" s="14">
        <f t="shared" si="0"/>
        <v>-50</v>
      </c>
      <c r="N22" s="14">
        <f t="shared" si="1"/>
        <v>50</v>
      </c>
    </row>
    <row r="23" spans="1:14" ht="12.75" x14ac:dyDescent="0.2">
      <c r="A23" s="1" t="s">
        <v>993</v>
      </c>
      <c r="B23" s="3" t="s">
        <v>995</v>
      </c>
      <c r="C23" s="4">
        <v>42876</v>
      </c>
      <c r="D23" s="2">
        <v>0.72916666666666663</v>
      </c>
      <c r="E23" s="1" t="s">
        <v>57</v>
      </c>
      <c r="F23" s="5">
        <v>6</v>
      </c>
      <c r="G23" s="5">
        <v>1</v>
      </c>
      <c r="H23" s="1">
        <v>1.56</v>
      </c>
      <c r="I23" s="1">
        <v>3.77</v>
      </c>
      <c r="J23" s="1">
        <v>6.5</v>
      </c>
      <c r="K23" s="6">
        <f>+H23-J23</f>
        <v>-4.9399999999999995</v>
      </c>
      <c r="L23" s="7" t="str">
        <f>IF(F23-G23&gt;0,"Win","Loss")</f>
        <v>Win</v>
      </c>
      <c r="M23" s="14">
        <f t="shared" si="0"/>
        <v>28</v>
      </c>
      <c r="N23" s="14">
        <f t="shared" si="1"/>
        <v>50</v>
      </c>
    </row>
    <row r="24" spans="1:14" ht="12.75" x14ac:dyDescent="0.2">
      <c r="A24" s="1" t="s">
        <v>993</v>
      </c>
      <c r="B24" s="3" t="s">
        <v>995</v>
      </c>
      <c r="C24" s="4">
        <v>42876</v>
      </c>
      <c r="D24" s="2">
        <v>0.72916666666666663</v>
      </c>
      <c r="E24" s="1" t="s">
        <v>58</v>
      </c>
      <c r="F24" s="5">
        <v>0</v>
      </c>
      <c r="G24" s="5">
        <v>1</v>
      </c>
      <c r="H24" s="1">
        <v>1.91</v>
      </c>
      <c r="I24" s="1">
        <v>3.2</v>
      </c>
      <c r="J24" s="1">
        <v>4.43</v>
      </c>
      <c r="K24" s="6">
        <f>+H24-J24</f>
        <v>-2.5199999999999996</v>
      </c>
      <c r="L24" s="7" t="str">
        <f>IF(F24-G24&gt;0,"Win","Loss")</f>
        <v>Loss</v>
      </c>
      <c r="M24" s="14">
        <f t="shared" si="0"/>
        <v>-50</v>
      </c>
      <c r="N24" s="14">
        <f t="shared" si="1"/>
        <v>50</v>
      </c>
    </row>
    <row r="25" spans="1:14" ht="12.75" x14ac:dyDescent="0.2">
      <c r="A25" s="1" t="s">
        <v>993</v>
      </c>
      <c r="B25" s="3" t="s">
        <v>995</v>
      </c>
      <c r="C25" s="4">
        <v>42879</v>
      </c>
      <c r="D25" s="2">
        <v>0.72916666666666663</v>
      </c>
      <c r="E25" s="1" t="s">
        <v>55</v>
      </c>
      <c r="F25" s="5">
        <v>1</v>
      </c>
      <c r="G25" s="5" t="s">
        <v>978</v>
      </c>
      <c r="H25" s="1">
        <v>1.77</v>
      </c>
      <c r="I25" s="1">
        <v>3.5</v>
      </c>
      <c r="J25" s="1">
        <v>4.3499999999999996</v>
      </c>
      <c r="K25" s="6">
        <f>+H25-J25</f>
        <v>-2.5799999999999996</v>
      </c>
      <c r="L25" s="7" t="str">
        <f>IF(F25-G25&gt;0,"Win","Loss")</f>
        <v>Win</v>
      </c>
      <c r="M25" s="14">
        <f t="shared" si="0"/>
        <v>38.5</v>
      </c>
      <c r="N25" s="14">
        <f t="shared" si="1"/>
        <v>50</v>
      </c>
    </row>
    <row r="26" spans="1:14" ht="12.75" x14ac:dyDescent="0.2">
      <c r="A26" s="1" t="s">
        <v>993</v>
      </c>
      <c r="B26" s="3" t="s">
        <v>995</v>
      </c>
      <c r="C26" s="4">
        <v>42879</v>
      </c>
      <c r="D26" s="2">
        <v>0.60416666666666663</v>
      </c>
      <c r="E26" s="1" t="s">
        <v>56</v>
      </c>
      <c r="F26" s="5">
        <v>1</v>
      </c>
      <c r="G26" s="5" t="s">
        <v>978</v>
      </c>
      <c r="H26" s="1">
        <v>1.31</v>
      </c>
      <c r="I26" s="1">
        <v>5.07</v>
      </c>
      <c r="J26" s="1">
        <v>8.24</v>
      </c>
      <c r="K26" s="6">
        <f>+H26-J26</f>
        <v>-6.93</v>
      </c>
      <c r="L26" s="7" t="str">
        <f>IF(F26-G26&gt;0,"Win","Loss")</f>
        <v>Win</v>
      </c>
      <c r="M26" s="14">
        <f t="shared" si="0"/>
        <v>15.5</v>
      </c>
      <c r="N26" s="14">
        <f t="shared" si="1"/>
        <v>50</v>
      </c>
    </row>
    <row r="27" spans="1:14" ht="12.75" x14ac:dyDescent="0.2">
      <c r="A27" s="1" t="s">
        <v>993</v>
      </c>
      <c r="B27" s="3" t="s">
        <v>995</v>
      </c>
      <c r="C27" s="4">
        <v>42883</v>
      </c>
      <c r="D27" s="2">
        <v>0.72916666666666663</v>
      </c>
      <c r="E27" s="1" t="s">
        <v>53</v>
      </c>
      <c r="F27" s="5">
        <v>0</v>
      </c>
      <c r="G27" s="5">
        <v>1</v>
      </c>
      <c r="H27" s="1">
        <v>1.48</v>
      </c>
      <c r="I27" s="1">
        <v>4.53</v>
      </c>
      <c r="J27" s="1">
        <v>6.43</v>
      </c>
      <c r="K27" s="6">
        <f>+H27-J27</f>
        <v>-4.9499999999999993</v>
      </c>
      <c r="L27" s="7" t="str">
        <f>IF(F27-G27&gt;0,"Win","Loss")</f>
        <v>Loss</v>
      </c>
      <c r="M27" s="14">
        <f t="shared" si="0"/>
        <v>-50</v>
      </c>
      <c r="N27" s="14">
        <f t="shared" si="1"/>
        <v>50</v>
      </c>
    </row>
    <row r="28" spans="1:14" ht="12.75" x14ac:dyDescent="0.2">
      <c r="A28" s="1" t="s">
        <v>993</v>
      </c>
      <c r="B28" s="3" t="s">
        <v>995</v>
      </c>
      <c r="C28" s="4">
        <v>42883</v>
      </c>
      <c r="D28" s="2">
        <v>0.60416666666666663</v>
      </c>
      <c r="E28" s="1" t="s">
        <v>54</v>
      </c>
      <c r="F28" s="5">
        <v>1</v>
      </c>
      <c r="G28" s="5">
        <v>3</v>
      </c>
      <c r="H28" s="1">
        <v>3.08</v>
      </c>
      <c r="I28" s="1">
        <v>3</v>
      </c>
      <c r="J28" s="1">
        <v>2.54</v>
      </c>
      <c r="K28" s="6">
        <f>+H28-J28</f>
        <v>0.54</v>
      </c>
      <c r="L28" s="7" t="str">
        <f>IF(F28-G28&gt;0,"Win","Loss")</f>
        <v>Loss</v>
      </c>
      <c r="M28" s="14">
        <f t="shared" si="0"/>
        <v>-50</v>
      </c>
      <c r="N28" s="14">
        <f t="shared" si="1"/>
        <v>50</v>
      </c>
    </row>
    <row r="29" spans="1:14" ht="12.75" x14ac:dyDescent="0.2">
      <c r="A29" s="1" t="s">
        <v>993</v>
      </c>
      <c r="B29" s="3" t="s">
        <v>994</v>
      </c>
      <c r="C29" s="4">
        <v>43190</v>
      </c>
      <c r="D29" s="2">
        <v>0.70833333333333337</v>
      </c>
      <c r="E29" s="1" t="s">
        <v>49</v>
      </c>
      <c r="F29" s="5">
        <v>3</v>
      </c>
      <c r="G29" s="5">
        <v>1</v>
      </c>
      <c r="H29" s="1">
        <v>2.23</v>
      </c>
      <c r="I29" s="1">
        <v>3.22</v>
      </c>
      <c r="J29" s="1">
        <v>2.9</v>
      </c>
      <c r="K29" s="6">
        <f>+H29-J29</f>
        <v>-0.66999999999999993</v>
      </c>
      <c r="L29" s="7" t="str">
        <f>IF(F29-G29&gt;0,"Win","Loss")</f>
        <v>Win</v>
      </c>
      <c r="M29" s="14">
        <f t="shared" si="0"/>
        <v>61.5</v>
      </c>
      <c r="N29" s="14">
        <f t="shared" si="1"/>
        <v>50</v>
      </c>
    </row>
    <row r="30" spans="1:14" ht="12.75" x14ac:dyDescent="0.2">
      <c r="A30" s="1" t="s">
        <v>993</v>
      </c>
      <c r="B30" s="3" t="s">
        <v>994</v>
      </c>
      <c r="C30" s="4">
        <v>43190</v>
      </c>
      <c r="D30" s="2">
        <v>0.54166666666666663</v>
      </c>
      <c r="E30" s="1" t="s">
        <v>50</v>
      </c>
      <c r="F30" s="5">
        <v>5</v>
      </c>
      <c r="G30" s="5">
        <v>1</v>
      </c>
      <c r="H30" s="1">
        <v>1.05</v>
      </c>
      <c r="I30" s="1">
        <v>11.67</v>
      </c>
      <c r="J30" s="1">
        <v>19.329999999999998</v>
      </c>
      <c r="K30" s="6">
        <f>+H30-J30</f>
        <v>-18.279999999999998</v>
      </c>
      <c r="L30" s="7" t="str">
        <f>IF(F30-G30&gt;0,"Win","Loss")</f>
        <v>Win</v>
      </c>
      <c r="M30" s="14">
        <f t="shared" si="0"/>
        <v>2.5</v>
      </c>
      <c r="N30" s="14">
        <f t="shared" si="1"/>
        <v>50</v>
      </c>
    </row>
    <row r="31" spans="1:14" ht="12.75" x14ac:dyDescent="0.2">
      <c r="A31" s="1" t="s">
        <v>993</v>
      </c>
      <c r="B31" s="3" t="s">
        <v>994</v>
      </c>
      <c r="C31" s="4">
        <v>43191</v>
      </c>
      <c r="D31" s="2">
        <v>0.5</v>
      </c>
      <c r="E31" s="1" t="s">
        <v>48</v>
      </c>
      <c r="F31" s="5">
        <v>1</v>
      </c>
      <c r="G31" s="5">
        <v>1</v>
      </c>
      <c r="H31" s="1">
        <v>2.2400000000000002</v>
      </c>
      <c r="I31" s="1">
        <v>3.04</v>
      </c>
      <c r="J31" s="1">
        <v>3.13</v>
      </c>
      <c r="K31" s="6">
        <f>+H31-J31</f>
        <v>-0.88999999999999968</v>
      </c>
      <c r="L31" s="7" t="str">
        <f>IF(F31-G31&gt;0,"Win","Loss")</f>
        <v>Loss</v>
      </c>
      <c r="M31" s="14">
        <f t="shared" si="0"/>
        <v>-50</v>
      </c>
      <c r="N31" s="14">
        <f t="shared" si="1"/>
        <v>50</v>
      </c>
    </row>
    <row r="32" spans="1:14" ht="12.75" x14ac:dyDescent="0.2">
      <c r="A32" s="1" t="s">
        <v>993</v>
      </c>
      <c r="B32" s="3" t="s">
        <v>994</v>
      </c>
      <c r="C32" s="4">
        <v>43211</v>
      </c>
      <c r="D32" s="2">
        <v>0.625</v>
      </c>
      <c r="E32" s="1" t="s">
        <v>45</v>
      </c>
      <c r="F32" s="5">
        <v>1</v>
      </c>
      <c r="G32" s="5">
        <v>0</v>
      </c>
      <c r="H32" s="1">
        <v>2.0099999999999998</v>
      </c>
      <c r="I32" s="1">
        <v>3.29</v>
      </c>
      <c r="J32" s="1">
        <v>3.27</v>
      </c>
      <c r="K32" s="6">
        <f>+H32-J32</f>
        <v>-1.2600000000000002</v>
      </c>
      <c r="L32" s="7" t="str">
        <f>IF(F32-G32&gt;0,"Win","Loss")</f>
        <v>Win</v>
      </c>
      <c r="M32" s="14">
        <f t="shared" si="0"/>
        <v>50.499999999999986</v>
      </c>
      <c r="N32" s="14">
        <f t="shared" si="1"/>
        <v>50</v>
      </c>
    </row>
    <row r="33" spans="1:14" ht="12.75" x14ac:dyDescent="0.2">
      <c r="A33" s="1" t="s">
        <v>993</v>
      </c>
      <c r="B33" s="3" t="s">
        <v>994</v>
      </c>
      <c r="C33" s="4">
        <v>43211</v>
      </c>
      <c r="D33" s="2">
        <v>0.60416666666666663</v>
      </c>
      <c r="E33" s="1" t="s">
        <v>46</v>
      </c>
      <c r="F33" s="5">
        <v>1</v>
      </c>
      <c r="G33" s="5">
        <v>2</v>
      </c>
      <c r="H33" s="1">
        <v>2.42</v>
      </c>
      <c r="I33" s="1">
        <v>3.42</v>
      </c>
      <c r="J33" s="1">
        <v>2.5099999999999998</v>
      </c>
      <c r="K33" s="6">
        <f>+H33-J33</f>
        <v>-8.9999999999999858E-2</v>
      </c>
      <c r="L33" s="7" t="str">
        <f>IF(F33-G33&gt;0,"Win","Loss")</f>
        <v>Loss</v>
      </c>
      <c r="M33" s="14">
        <f t="shared" si="0"/>
        <v>-50</v>
      </c>
      <c r="N33" s="14">
        <f t="shared" si="1"/>
        <v>50</v>
      </c>
    </row>
    <row r="34" spans="1:14" ht="12.75" x14ac:dyDescent="0.2">
      <c r="A34" s="1" t="s">
        <v>993</v>
      </c>
      <c r="B34" s="3" t="s">
        <v>994</v>
      </c>
      <c r="C34" s="4">
        <v>43211</v>
      </c>
      <c r="D34" s="2">
        <v>0.5625</v>
      </c>
      <c r="E34" s="1" t="s">
        <v>47</v>
      </c>
      <c r="F34" s="5">
        <v>0</v>
      </c>
      <c r="G34" s="5">
        <v>0</v>
      </c>
      <c r="H34" s="1">
        <v>2.0099999999999998</v>
      </c>
      <c r="I34" s="1">
        <v>3.25</v>
      </c>
      <c r="J34" s="1">
        <v>3.25</v>
      </c>
      <c r="K34" s="6">
        <f>+H34-J34</f>
        <v>-1.2400000000000002</v>
      </c>
      <c r="L34" s="7" t="str">
        <f>IF(F34-G34&gt;0,"Win","Loss")</f>
        <v>Loss</v>
      </c>
      <c r="M34" s="14">
        <f t="shared" si="0"/>
        <v>-50</v>
      </c>
      <c r="N34" s="14">
        <f t="shared" si="1"/>
        <v>50</v>
      </c>
    </row>
    <row r="35" spans="1:14" ht="12.75" x14ac:dyDescent="0.2">
      <c r="A35" s="1" t="s">
        <v>993</v>
      </c>
      <c r="B35" s="3" t="s">
        <v>994</v>
      </c>
      <c r="C35" s="4">
        <v>43212</v>
      </c>
      <c r="D35" s="2">
        <v>0.54166666666666663</v>
      </c>
      <c r="E35" s="1" t="s">
        <v>44</v>
      </c>
      <c r="F35" s="5">
        <v>1</v>
      </c>
      <c r="G35" s="5">
        <v>1</v>
      </c>
      <c r="H35" s="1">
        <v>1.67</v>
      </c>
      <c r="I35" s="1">
        <v>3.3</v>
      </c>
      <c r="J35" s="1">
        <v>4.7300000000000004</v>
      </c>
      <c r="K35" s="6">
        <f>+H35-J35</f>
        <v>-3.0600000000000005</v>
      </c>
      <c r="L35" s="7" t="str">
        <f>IF(F35-G35&gt;0,"Win","Loss")</f>
        <v>Loss</v>
      </c>
      <c r="M35" s="14">
        <f t="shared" si="0"/>
        <v>-50</v>
      </c>
      <c r="N35" s="14">
        <f t="shared" si="1"/>
        <v>50</v>
      </c>
    </row>
    <row r="36" spans="1:14" ht="12.75" x14ac:dyDescent="0.2">
      <c r="A36" s="1" t="s">
        <v>1008</v>
      </c>
      <c r="B36" s="3" t="s">
        <v>1009</v>
      </c>
      <c r="C36" s="4">
        <v>43224</v>
      </c>
      <c r="D36" s="2">
        <v>0.64583333333333337</v>
      </c>
      <c r="E36" s="1" t="s">
        <v>433</v>
      </c>
      <c r="F36" s="5">
        <v>1</v>
      </c>
      <c r="G36" s="5">
        <v>0</v>
      </c>
      <c r="H36" s="1">
        <v>1.85</v>
      </c>
      <c r="I36" s="1">
        <v>3.04</v>
      </c>
      <c r="J36" s="1">
        <v>4.6900000000000004</v>
      </c>
      <c r="K36" s="6">
        <f>+H36-J36</f>
        <v>-2.8400000000000003</v>
      </c>
      <c r="L36" s="7" t="str">
        <f>IF(F36-G36&gt;0,"Win","Loss")</f>
        <v>Win</v>
      </c>
      <c r="M36" s="14">
        <f t="shared" si="0"/>
        <v>42.5</v>
      </c>
      <c r="N36" s="14">
        <f t="shared" si="1"/>
        <v>50</v>
      </c>
    </row>
    <row r="37" spans="1:14" ht="12.75" x14ac:dyDescent="0.2">
      <c r="A37" s="1" t="s">
        <v>1008</v>
      </c>
      <c r="B37" s="3" t="s">
        <v>1009</v>
      </c>
      <c r="C37" s="4">
        <v>43225</v>
      </c>
      <c r="D37" s="2">
        <v>0.6875</v>
      </c>
      <c r="E37" s="1" t="s">
        <v>430</v>
      </c>
      <c r="F37" s="5">
        <v>0</v>
      </c>
      <c r="G37" s="5">
        <v>0</v>
      </c>
      <c r="H37" s="1">
        <v>2.66</v>
      </c>
      <c r="I37" s="1">
        <v>2.7</v>
      </c>
      <c r="J37" s="1">
        <v>2.95</v>
      </c>
      <c r="K37" s="6">
        <f>+H37-J37</f>
        <v>-0.29000000000000004</v>
      </c>
      <c r="L37" s="7" t="str">
        <f>IF(F37-G37&gt;0,"Win","Loss")</f>
        <v>Loss</v>
      </c>
      <c r="M37" s="14">
        <f t="shared" si="0"/>
        <v>-50</v>
      </c>
      <c r="N37" s="14">
        <f t="shared" si="1"/>
        <v>50</v>
      </c>
    </row>
    <row r="38" spans="1:14" ht="12.75" x14ac:dyDescent="0.2">
      <c r="A38" s="1" t="s">
        <v>1008</v>
      </c>
      <c r="B38" s="3" t="s">
        <v>1009</v>
      </c>
      <c r="C38" s="4">
        <v>43225</v>
      </c>
      <c r="D38" s="2">
        <v>0.60416666666666663</v>
      </c>
      <c r="E38" s="1" t="s">
        <v>431</v>
      </c>
      <c r="F38" s="5">
        <v>0</v>
      </c>
      <c r="G38" s="5">
        <v>1</v>
      </c>
      <c r="H38" s="1">
        <v>2.4700000000000002</v>
      </c>
      <c r="I38" s="1">
        <v>2.86</v>
      </c>
      <c r="J38" s="1">
        <v>3.06</v>
      </c>
      <c r="K38" s="6">
        <f>+H38-J38</f>
        <v>-0.58999999999999986</v>
      </c>
      <c r="L38" s="7" t="str">
        <f>IF(F38-G38&gt;0,"Win","Loss")</f>
        <v>Loss</v>
      </c>
      <c r="M38" s="14">
        <f t="shared" si="0"/>
        <v>-50</v>
      </c>
      <c r="N38" s="14">
        <f t="shared" si="1"/>
        <v>50</v>
      </c>
    </row>
    <row r="39" spans="1:14" ht="12.75" x14ac:dyDescent="0.2">
      <c r="A39" s="1" t="s">
        <v>1008</v>
      </c>
      <c r="B39" s="3" t="s">
        <v>1009</v>
      </c>
      <c r="C39" s="4">
        <v>43225</v>
      </c>
      <c r="D39" s="2">
        <v>0.52083333333333337</v>
      </c>
      <c r="E39" s="1" t="s">
        <v>432</v>
      </c>
      <c r="F39" s="5">
        <v>1</v>
      </c>
      <c r="G39" s="5">
        <v>0</v>
      </c>
      <c r="H39" s="1">
        <v>2.09</v>
      </c>
      <c r="I39" s="1">
        <v>2.98</v>
      </c>
      <c r="J39" s="1">
        <v>3.7</v>
      </c>
      <c r="K39" s="6">
        <f>+H39-J39</f>
        <v>-1.6100000000000003</v>
      </c>
      <c r="L39" s="7" t="str">
        <f>IF(F39-G39&gt;0,"Win","Loss")</f>
        <v>Win</v>
      </c>
      <c r="M39" s="14">
        <f t="shared" si="0"/>
        <v>54.5</v>
      </c>
      <c r="N39" s="14">
        <f t="shared" si="1"/>
        <v>50</v>
      </c>
    </row>
    <row r="40" spans="1:14" ht="12.75" x14ac:dyDescent="0.2">
      <c r="A40" s="1" t="s">
        <v>1008</v>
      </c>
      <c r="B40" s="3" t="s">
        <v>1009</v>
      </c>
      <c r="C40" s="4">
        <v>43226</v>
      </c>
      <c r="D40" s="2">
        <v>0.6875</v>
      </c>
      <c r="E40" s="1" t="s">
        <v>427</v>
      </c>
      <c r="F40" s="5">
        <v>1</v>
      </c>
      <c r="G40" s="5">
        <v>2</v>
      </c>
      <c r="H40" s="1">
        <v>2.35</v>
      </c>
      <c r="I40" s="1">
        <v>2.85</v>
      </c>
      <c r="J40" s="1">
        <v>3.22</v>
      </c>
      <c r="K40" s="6">
        <f>+H40-J40</f>
        <v>-0.87000000000000011</v>
      </c>
      <c r="L40" s="7" t="str">
        <f>IF(F40-G40&gt;0,"Win","Loss")</f>
        <v>Loss</v>
      </c>
      <c r="M40" s="14">
        <f t="shared" si="0"/>
        <v>-50</v>
      </c>
      <c r="N40" s="14">
        <f t="shared" si="1"/>
        <v>50</v>
      </c>
    </row>
    <row r="41" spans="1:14" ht="12.75" x14ac:dyDescent="0.2">
      <c r="A41" s="1" t="s">
        <v>1008</v>
      </c>
      <c r="B41" s="3" t="s">
        <v>1009</v>
      </c>
      <c r="C41" s="4">
        <v>43226</v>
      </c>
      <c r="D41" s="2">
        <v>0.60416666666666663</v>
      </c>
      <c r="E41" s="1" t="s">
        <v>428</v>
      </c>
      <c r="F41" s="5">
        <v>2</v>
      </c>
      <c r="G41" s="5">
        <v>0</v>
      </c>
      <c r="H41" s="1">
        <v>2.67</v>
      </c>
      <c r="I41" s="1">
        <v>3.07</v>
      </c>
      <c r="J41" s="1">
        <v>2.57</v>
      </c>
      <c r="K41" s="6">
        <f>+H41-J41</f>
        <v>0.10000000000000009</v>
      </c>
      <c r="L41" s="7" t="str">
        <f>IF(F41-G41&gt;0,"Win","Loss")</f>
        <v>Win</v>
      </c>
      <c r="M41" s="14">
        <f t="shared" si="0"/>
        <v>83.5</v>
      </c>
      <c r="N41" s="14">
        <f t="shared" si="1"/>
        <v>50</v>
      </c>
    </row>
    <row r="42" spans="1:14" ht="12.75" x14ac:dyDescent="0.2">
      <c r="A42" s="1" t="s">
        <v>1008</v>
      </c>
      <c r="B42" s="3" t="s">
        <v>1009</v>
      </c>
      <c r="C42" s="4">
        <v>43226</v>
      </c>
      <c r="D42" s="2">
        <v>0.52083333333333337</v>
      </c>
      <c r="E42" s="1" t="s">
        <v>429</v>
      </c>
      <c r="F42" s="5">
        <v>0</v>
      </c>
      <c r="G42" s="5">
        <v>0</v>
      </c>
      <c r="H42" s="1">
        <v>2.31</v>
      </c>
      <c r="I42" s="1">
        <v>2.86</v>
      </c>
      <c r="J42" s="1">
        <v>3.26</v>
      </c>
      <c r="K42" s="6">
        <f>+H42-J42</f>
        <v>-0.94999999999999973</v>
      </c>
      <c r="L42" s="7" t="str">
        <f>IF(F42-G42&gt;0,"Win","Loss")</f>
        <v>Loss</v>
      </c>
      <c r="M42" s="14">
        <f t="shared" si="0"/>
        <v>-50</v>
      </c>
      <c r="N42" s="14">
        <f t="shared" si="1"/>
        <v>50</v>
      </c>
    </row>
    <row r="43" spans="1:14" ht="12.75" x14ac:dyDescent="0.2">
      <c r="A43" s="1" t="s">
        <v>1008</v>
      </c>
      <c r="B43" s="3" t="s">
        <v>1009</v>
      </c>
      <c r="C43" s="4">
        <v>43227</v>
      </c>
      <c r="D43" s="2">
        <v>0.6875</v>
      </c>
      <c r="E43" s="1" t="s">
        <v>426</v>
      </c>
      <c r="F43" s="5">
        <v>0</v>
      </c>
      <c r="G43" s="5">
        <v>1</v>
      </c>
      <c r="H43" s="1">
        <v>7.8</v>
      </c>
      <c r="I43" s="1">
        <v>4.3</v>
      </c>
      <c r="J43" s="1">
        <v>1.38</v>
      </c>
      <c r="K43" s="6">
        <f>+H43-J43</f>
        <v>6.42</v>
      </c>
      <c r="L43" s="7" t="str">
        <f>IF(F43-G43&gt;0,"Win","Loss")</f>
        <v>Loss</v>
      </c>
      <c r="M43" s="14">
        <f t="shared" si="0"/>
        <v>-50</v>
      </c>
      <c r="N43" s="14">
        <f t="shared" si="1"/>
        <v>50</v>
      </c>
    </row>
    <row r="44" spans="1:14" ht="12.75" x14ac:dyDescent="0.2">
      <c r="A44" s="1" t="s">
        <v>993</v>
      </c>
      <c r="B44" s="3" t="s">
        <v>994</v>
      </c>
      <c r="C44" s="4">
        <v>43231</v>
      </c>
      <c r="D44" s="2">
        <v>0.70833333333333337</v>
      </c>
      <c r="E44" s="1" t="s">
        <v>43</v>
      </c>
      <c r="F44" s="5">
        <v>0</v>
      </c>
      <c r="G44" s="5">
        <v>0</v>
      </c>
      <c r="H44" s="1">
        <v>2.2000000000000002</v>
      </c>
      <c r="I44" s="1">
        <v>3.27</v>
      </c>
      <c r="J44" s="1">
        <v>2.88</v>
      </c>
      <c r="K44" s="6">
        <f>+H44-J44</f>
        <v>-0.67999999999999972</v>
      </c>
      <c r="L44" s="7" t="str">
        <f>IF(F44-G44&gt;0,"Win","Loss")</f>
        <v>Loss</v>
      </c>
      <c r="M44" s="14">
        <f t="shared" si="0"/>
        <v>-50</v>
      </c>
      <c r="N44" s="14">
        <f t="shared" si="1"/>
        <v>50</v>
      </c>
    </row>
    <row r="45" spans="1:14" ht="12.75" x14ac:dyDescent="0.2">
      <c r="A45" s="1" t="s">
        <v>1008</v>
      </c>
      <c r="B45" s="3" t="s">
        <v>1009</v>
      </c>
      <c r="C45" s="4">
        <v>43231</v>
      </c>
      <c r="D45" s="2">
        <v>0.6875</v>
      </c>
      <c r="E45" s="1" t="s">
        <v>425</v>
      </c>
      <c r="F45" s="5">
        <v>0</v>
      </c>
      <c r="G45" s="5">
        <v>2</v>
      </c>
      <c r="H45" s="1">
        <v>2.72</v>
      </c>
      <c r="I45" s="1">
        <v>2.87</v>
      </c>
      <c r="J45" s="1">
        <v>2.72</v>
      </c>
      <c r="K45" s="6">
        <f>+H45-J45</f>
        <v>0</v>
      </c>
      <c r="L45" s="7" t="str">
        <f>IF(F45-G45&gt;0,"Win","Loss")</f>
        <v>Loss</v>
      </c>
      <c r="M45" s="14">
        <f t="shared" si="0"/>
        <v>-50</v>
      </c>
      <c r="N45" s="14">
        <f t="shared" si="1"/>
        <v>50</v>
      </c>
    </row>
    <row r="46" spans="1:14" ht="12.75" x14ac:dyDescent="0.2">
      <c r="A46" s="1" t="s">
        <v>993</v>
      </c>
      <c r="B46" s="3" t="s">
        <v>994</v>
      </c>
      <c r="C46" s="4">
        <v>43232</v>
      </c>
      <c r="D46" s="2">
        <v>0.5625</v>
      </c>
      <c r="E46" s="1" t="s">
        <v>41</v>
      </c>
      <c r="F46" s="5">
        <v>0</v>
      </c>
      <c r="G46" s="5">
        <v>2</v>
      </c>
      <c r="H46" s="1">
        <v>3.36</v>
      </c>
      <c r="I46" s="1">
        <v>3.23</v>
      </c>
      <c r="J46" s="1">
        <v>2.0099999999999998</v>
      </c>
      <c r="K46" s="6">
        <f>+H46-J46</f>
        <v>1.35</v>
      </c>
      <c r="L46" s="7" t="str">
        <f>IF(F46-G46&gt;0,"Win","Loss")</f>
        <v>Loss</v>
      </c>
      <c r="M46" s="14">
        <f t="shared" si="0"/>
        <v>-50</v>
      </c>
      <c r="N46" s="14">
        <f t="shared" si="1"/>
        <v>50</v>
      </c>
    </row>
    <row r="47" spans="1:14" ht="12.75" x14ac:dyDescent="0.2">
      <c r="A47" s="1" t="s">
        <v>993</v>
      </c>
      <c r="B47" s="3" t="s">
        <v>994</v>
      </c>
      <c r="C47" s="4">
        <v>43232</v>
      </c>
      <c r="D47" s="2">
        <v>0.54166666666666663</v>
      </c>
      <c r="E47" s="1" t="s">
        <v>42</v>
      </c>
      <c r="F47" s="5">
        <v>1</v>
      </c>
      <c r="G47" s="5">
        <v>0</v>
      </c>
      <c r="H47" s="1">
        <v>5.5</v>
      </c>
      <c r="I47" s="1">
        <v>3.33</v>
      </c>
      <c r="J47" s="1">
        <v>1.62</v>
      </c>
      <c r="K47" s="6">
        <f>+H47-J47</f>
        <v>3.88</v>
      </c>
      <c r="L47" s="7" t="str">
        <f>IF(F47-G47&gt;0,"Win","Loss")</f>
        <v>Win</v>
      </c>
      <c r="M47" s="14">
        <f t="shared" si="0"/>
        <v>225</v>
      </c>
      <c r="N47" s="14">
        <f t="shared" si="1"/>
        <v>50</v>
      </c>
    </row>
    <row r="48" spans="1:14" ht="12.75" x14ac:dyDescent="0.2">
      <c r="A48" s="1" t="s">
        <v>1008</v>
      </c>
      <c r="B48" s="3" t="s">
        <v>1009</v>
      </c>
      <c r="C48" s="4">
        <v>43232</v>
      </c>
      <c r="D48" s="2">
        <v>0.6875</v>
      </c>
      <c r="E48" s="1" t="s">
        <v>422</v>
      </c>
      <c r="F48" s="5">
        <v>3</v>
      </c>
      <c r="G48" s="5">
        <v>1</v>
      </c>
      <c r="H48" s="1">
        <v>1.7</v>
      </c>
      <c r="I48" s="1">
        <v>3.34</v>
      </c>
      <c r="J48" s="1">
        <v>5.0599999999999996</v>
      </c>
      <c r="K48" s="6">
        <f>+H48-J48</f>
        <v>-3.3599999999999994</v>
      </c>
      <c r="L48" s="7" t="str">
        <f>IF(F48-G48&gt;0,"Win","Loss")</f>
        <v>Win</v>
      </c>
      <c r="M48" s="14">
        <f t="shared" si="0"/>
        <v>35</v>
      </c>
      <c r="N48" s="14">
        <f t="shared" si="1"/>
        <v>50</v>
      </c>
    </row>
    <row r="49" spans="1:14" ht="12.75" x14ac:dyDescent="0.2">
      <c r="A49" s="1" t="s">
        <v>1008</v>
      </c>
      <c r="B49" s="3" t="s">
        <v>1009</v>
      </c>
      <c r="C49" s="4">
        <v>43232</v>
      </c>
      <c r="D49" s="2">
        <v>0.60416666666666663</v>
      </c>
      <c r="E49" s="1" t="s">
        <v>423</v>
      </c>
      <c r="F49" s="5">
        <v>0</v>
      </c>
      <c r="G49" s="5">
        <v>0</v>
      </c>
      <c r="H49" s="1">
        <v>3.37</v>
      </c>
      <c r="I49" s="1">
        <v>2.72</v>
      </c>
      <c r="J49" s="1">
        <v>2.34</v>
      </c>
      <c r="K49" s="6">
        <f>+H49-J49</f>
        <v>1.0300000000000002</v>
      </c>
      <c r="L49" s="7" t="str">
        <f>IF(F49-G49&gt;0,"Win","Loss")</f>
        <v>Loss</v>
      </c>
      <c r="M49" s="14">
        <f t="shared" si="0"/>
        <v>-50</v>
      </c>
      <c r="N49" s="14">
        <f t="shared" si="1"/>
        <v>50</v>
      </c>
    </row>
    <row r="50" spans="1:14" ht="12.75" x14ac:dyDescent="0.2">
      <c r="A50" s="1" t="s">
        <v>1008</v>
      </c>
      <c r="B50" s="3" t="s">
        <v>1009</v>
      </c>
      <c r="C50" s="4">
        <v>43232</v>
      </c>
      <c r="D50" s="2">
        <v>0.52083333333333337</v>
      </c>
      <c r="E50" s="1" t="s">
        <v>424</v>
      </c>
      <c r="F50" s="5">
        <v>2</v>
      </c>
      <c r="G50" s="5">
        <v>1</v>
      </c>
      <c r="H50" s="1">
        <v>2.92</v>
      </c>
      <c r="I50" s="1">
        <v>2.81</v>
      </c>
      <c r="J50" s="1">
        <v>2.59</v>
      </c>
      <c r="K50" s="6">
        <f>+H50-J50</f>
        <v>0.33000000000000007</v>
      </c>
      <c r="L50" s="7" t="str">
        <f>IF(F50-G50&gt;0,"Win","Loss")</f>
        <v>Win</v>
      </c>
      <c r="M50" s="14">
        <f t="shared" si="0"/>
        <v>96</v>
      </c>
      <c r="N50" s="14">
        <f t="shared" si="1"/>
        <v>50</v>
      </c>
    </row>
    <row r="51" spans="1:14" ht="12.75" x14ac:dyDescent="0.2">
      <c r="A51" s="1" t="s">
        <v>993</v>
      </c>
      <c r="B51" s="3" t="s">
        <v>994</v>
      </c>
      <c r="C51" s="4">
        <v>43233</v>
      </c>
      <c r="D51" s="2">
        <v>0.54166666666666663</v>
      </c>
      <c r="E51" s="1" t="s">
        <v>40</v>
      </c>
      <c r="F51" s="5">
        <v>1</v>
      </c>
      <c r="G51" s="5">
        <v>2</v>
      </c>
      <c r="H51" s="1">
        <v>5.44</v>
      </c>
      <c r="I51" s="1">
        <v>3.25</v>
      </c>
      <c r="J51" s="1">
        <v>1.63</v>
      </c>
      <c r="K51" s="6">
        <f>+H51-J51</f>
        <v>3.8100000000000005</v>
      </c>
      <c r="L51" s="7" t="str">
        <f>IF(F51-G51&gt;0,"Win","Loss")</f>
        <v>Loss</v>
      </c>
      <c r="M51" s="14">
        <f t="shared" si="0"/>
        <v>-50</v>
      </c>
      <c r="N51" s="14">
        <f t="shared" si="1"/>
        <v>50</v>
      </c>
    </row>
    <row r="52" spans="1:14" ht="12.75" x14ac:dyDescent="0.2">
      <c r="A52" s="1" t="s">
        <v>1008</v>
      </c>
      <c r="B52" s="3" t="s">
        <v>1009</v>
      </c>
      <c r="C52" s="4">
        <v>43233</v>
      </c>
      <c r="D52" s="2">
        <v>0.6875</v>
      </c>
      <c r="E52" s="1" t="s">
        <v>419</v>
      </c>
      <c r="F52" s="5">
        <v>2</v>
      </c>
      <c r="G52" s="5">
        <v>0</v>
      </c>
      <c r="H52" s="1">
        <v>1.18</v>
      </c>
      <c r="I52" s="1">
        <v>5.86</v>
      </c>
      <c r="J52" s="1">
        <v>13.8</v>
      </c>
      <c r="K52" s="6">
        <f>+H52-J52</f>
        <v>-12.620000000000001</v>
      </c>
      <c r="L52" s="7" t="str">
        <f>IF(F52-G52&gt;0,"Win","Loss")</f>
        <v>Win</v>
      </c>
      <c r="M52" s="14">
        <f t="shared" si="0"/>
        <v>9</v>
      </c>
      <c r="N52" s="14">
        <f t="shared" si="1"/>
        <v>50</v>
      </c>
    </row>
    <row r="53" spans="1:14" ht="12.75" x14ac:dyDescent="0.2">
      <c r="A53" s="1" t="s">
        <v>1008</v>
      </c>
      <c r="B53" s="3" t="s">
        <v>1009</v>
      </c>
      <c r="C53" s="4">
        <v>43233</v>
      </c>
      <c r="D53" s="2">
        <v>0.59375</v>
      </c>
      <c r="E53" s="1" t="s">
        <v>420</v>
      </c>
      <c r="F53" s="5">
        <v>1</v>
      </c>
      <c r="G53" s="5">
        <v>0</v>
      </c>
      <c r="H53" s="1">
        <v>1.82</v>
      </c>
      <c r="I53" s="1">
        <v>3.22</v>
      </c>
      <c r="J53" s="1">
        <v>4.5</v>
      </c>
      <c r="K53" s="6">
        <f>+H53-J53</f>
        <v>-2.6799999999999997</v>
      </c>
      <c r="L53" s="7" t="str">
        <f>IF(F53-G53&gt;0,"Win","Loss")</f>
        <v>Win</v>
      </c>
      <c r="M53" s="14">
        <f t="shared" si="0"/>
        <v>41</v>
      </c>
      <c r="N53" s="14">
        <f t="shared" si="1"/>
        <v>50</v>
      </c>
    </row>
    <row r="54" spans="1:14" ht="12.75" x14ac:dyDescent="0.2">
      <c r="A54" s="1" t="s">
        <v>1008</v>
      </c>
      <c r="B54" s="3" t="s">
        <v>1009</v>
      </c>
      <c r="C54" s="4">
        <v>43233</v>
      </c>
      <c r="D54" s="2">
        <v>0.5</v>
      </c>
      <c r="E54" s="1" t="s">
        <v>421</v>
      </c>
      <c r="F54" s="5">
        <v>3</v>
      </c>
      <c r="G54" s="5">
        <v>0</v>
      </c>
      <c r="H54" s="1">
        <v>1.72</v>
      </c>
      <c r="I54" s="1">
        <v>3.31</v>
      </c>
      <c r="J54" s="1">
        <v>5.04</v>
      </c>
      <c r="K54" s="6">
        <f>+H54-J54</f>
        <v>-3.3200000000000003</v>
      </c>
      <c r="L54" s="7" t="str">
        <f>IF(F54-G54&gt;0,"Win","Loss")</f>
        <v>Win</v>
      </c>
      <c r="M54" s="14">
        <f t="shared" si="0"/>
        <v>36</v>
      </c>
      <c r="N54" s="14">
        <f t="shared" si="1"/>
        <v>50</v>
      </c>
    </row>
    <row r="55" spans="1:14" ht="12.75" x14ac:dyDescent="0.2">
      <c r="A55" s="1" t="s">
        <v>1008</v>
      </c>
      <c r="B55" s="3" t="s">
        <v>1009</v>
      </c>
      <c r="C55" s="4">
        <v>43234</v>
      </c>
      <c r="D55" s="2">
        <v>0.6875</v>
      </c>
      <c r="E55" s="1" t="s">
        <v>418</v>
      </c>
      <c r="F55" s="5">
        <v>1</v>
      </c>
      <c r="G55" s="5">
        <v>3</v>
      </c>
      <c r="H55" s="1">
        <v>8.9600000000000009</v>
      </c>
      <c r="I55" s="1">
        <v>4.1900000000000004</v>
      </c>
      <c r="J55" s="1">
        <v>1.37</v>
      </c>
      <c r="K55" s="6">
        <f>+H55-J55</f>
        <v>7.5900000000000007</v>
      </c>
      <c r="L55" s="7" t="str">
        <f>IF(F55-G55&gt;0,"Win","Loss")</f>
        <v>Loss</v>
      </c>
      <c r="M55" s="14">
        <f t="shared" si="0"/>
        <v>-50</v>
      </c>
      <c r="N55" s="14">
        <f t="shared" si="1"/>
        <v>50</v>
      </c>
    </row>
    <row r="56" spans="1:14" ht="12.75" x14ac:dyDescent="0.2">
      <c r="A56" s="1" t="s">
        <v>993</v>
      </c>
      <c r="B56" s="3" t="s">
        <v>994</v>
      </c>
      <c r="C56" s="4">
        <v>43238</v>
      </c>
      <c r="D56" s="2">
        <v>0.60416666666666663</v>
      </c>
      <c r="E56" s="1" t="s">
        <v>39</v>
      </c>
      <c r="F56" s="5">
        <v>2</v>
      </c>
      <c r="G56" s="5" t="s">
        <v>978</v>
      </c>
      <c r="H56" s="1">
        <v>1.45</v>
      </c>
      <c r="I56" s="1">
        <v>3.79</v>
      </c>
      <c r="J56" s="1">
        <v>7.99</v>
      </c>
      <c r="K56" s="6">
        <f>+H56-J56</f>
        <v>-6.54</v>
      </c>
      <c r="L56" s="7" t="str">
        <f>IF(F56-G56&gt;0,"Win","Loss")</f>
        <v>Win</v>
      </c>
      <c r="M56" s="14">
        <f t="shared" si="0"/>
        <v>22.5</v>
      </c>
      <c r="N56" s="14">
        <f t="shared" si="1"/>
        <v>50</v>
      </c>
    </row>
    <row r="57" spans="1:14" ht="12.75" x14ac:dyDescent="0.2">
      <c r="A57" s="1" t="s">
        <v>993</v>
      </c>
      <c r="B57" s="3" t="s">
        <v>994</v>
      </c>
      <c r="C57" s="4">
        <v>43239</v>
      </c>
      <c r="D57" s="2">
        <v>0.8125</v>
      </c>
      <c r="E57" s="1" t="s">
        <v>36</v>
      </c>
      <c r="F57" s="5">
        <v>0</v>
      </c>
      <c r="G57" s="5" t="s">
        <v>979</v>
      </c>
      <c r="H57" s="1">
        <v>1.93</v>
      </c>
      <c r="I57" s="1">
        <v>3.24</v>
      </c>
      <c r="J57" s="1">
        <v>3.53</v>
      </c>
      <c r="K57" s="6">
        <f>+H57-J57</f>
        <v>-1.5999999999999999</v>
      </c>
      <c r="L57" s="7" t="str">
        <f>IF(F57-G57&gt;0,"Win","Loss")</f>
        <v>Loss</v>
      </c>
      <c r="M57" s="14">
        <f t="shared" si="0"/>
        <v>-50</v>
      </c>
      <c r="N57" s="14">
        <f t="shared" si="1"/>
        <v>50</v>
      </c>
    </row>
    <row r="58" spans="1:14" ht="12.75" x14ac:dyDescent="0.2">
      <c r="A58" s="1" t="s">
        <v>993</v>
      </c>
      <c r="B58" s="3" t="s">
        <v>994</v>
      </c>
      <c r="C58" s="4">
        <v>43239</v>
      </c>
      <c r="D58" s="2">
        <v>0.66666666666666663</v>
      </c>
      <c r="E58" s="1" t="s">
        <v>37</v>
      </c>
      <c r="F58" s="5">
        <v>2</v>
      </c>
      <c r="G58" s="5">
        <v>0</v>
      </c>
      <c r="H58" s="1">
        <v>1.5</v>
      </c>
      <c r="I58" s="1">
        <v>5.71</v>
      </c>
      <c r="J58" s="1">
        <v>29.04</v>
      </c>
      <c r="K58" s="6">
        <f>+H58-J58</f>
        <v>-27.54</v>
      </c>
      <c r="L58" s="7" t="str">
        <f>IF(F58-G58&gt;0,"Win","Loss")</f>
        <v>Win</v>
      </c>
      <c r="M58" s="14">
        <f t="shared" si="0"/>
        <v>25</v>
      </c>
      <c r="N58" s="14">
        <f t="shared" si="1"/>
        <v>50</v>
      </c>
    </row>
    <row r="59" spans="1:14" ht="12.75" x14ac:dyDescent="0.2">
      <c r="A59" s="1" t="s">
        <v>993</v>
      </c>
      <c r="B59" s="3" t="s">
        <v>994</v>
      </c>
      <c r="C59" s="4">
        <v>43239</v>
      </c>
      <c r="D59" s="2">
        <v>0.54166666666666663</v>
      </c>
      <c r="E59" s="1" t="s">
        <v>38</v>
      </c>
      <c r="F59" s="5">
        <v>1</v>
      </c>
      <c r="G59" s="5">
        <v>1</v>
      </c>
      <c r="H59" s="1">
        <v>1.33</v>
      </c>
      <c r="I59" s="1">
        <v>4.29</v>
      </c>
      <c r="J59" s="1">
        <v>7.96</v>
      </c>
      <c r="K59" s="6">
        <f>+H59-J59</f>
        <v>-6.63</v>
      </c>
      <c r="L59" s="7" t="str">
        <f>IF(F59-G59&gt;0,"Win","Loss")</f>
        <v>Loss</v>
      </c>
      <c r="M59" s="14">
        <f t="shared" si="0"/>
        <v>-50</v>
      </c>
      <c r="N59" s="14">
        <f t="shared" si="1"/>
        <v>50</v>
      </c>
    </row>
    <row r="60" spans="1:14" ht="12.75" x14ac:dyDescent="0.2">
      <c r="A60" s="1" t="s">
        <v>993</v>
      </c>
      <c r="B60" s="3" t="s">
        <v>994</v>
      </c>
      <c r="C60" s="4">
        <v>43240</v>
      </c>
      <c r="D60" s="2">
        <v>0.8125</v>
      </c>
      <c r="E60" s="1" t="s">
        <v>30</v>
      </c>
      <c r="F60" s="5">
        <v>0</v>
      </c>
      <c r="G60" s="5">
        <v>2</v>
      </c>
      <c r="H60" s="1">
        <v>1.53</v>
      </c>
      <c r="I60" s="1">
        <v>3.68</v>
      </c>
      <c r="J60" s="1">
        <v>5.39</v>
      </c>
      <c r="K60" s="6">
        <f>+H60-J60</f>
        <v>-3.8599999999999994</v>
      </c>
      <c r="L60" s="7" t="str">
        <f>IF(F60-G60&gt;0,"Win","Loss")</f>
        <v>Loss</v>
      </c>
      <c r="M60" s="14">
        <f t="shared" si="0"/>
        <v>-50</v>
      </c>
      <c r="N60" s="14">
        <f t="shared" si="1"/>
        <v>50</v>
      </c>
    </row>
    <row r="61" spans="1:14" ht="12.75" x14ac:dyDescent="0.2">
      <c r="A61" s="1" t="s">
        <v>993</v>
      </c>
      <c r="B61" s="3" t="s">
        <v>994</v>
      </c>
      <c r="C61" s="4">
        <v>43240</v>
      </c>
      <c r="D61" s="2">
        <v>0.79166666666666663</v>
      </c>
      <c r="E61" s="1" t="s">
        <v>31</v>
      </c>
      <c r="F61" s="5">
        <v>3</v>
      </c>
      <c r="G61" s="5">
        <v>3</v>
      </c>
      <c r="H61" s="1">
        <v>3.02</v>
      </c>
      <c r="I61" s="1">
        <v>3.16</v>
      </c>
      <c r="J61" s="1">
        <v>2.17</v>
      </c>
      <c r="K61" s="6">
        <f>+H61-J61</f>
        <v>0.85000000000000009</v>
      </c>
      <c r="L61" s="7" t="str">
        <f>IF(F61-G61&gt;0,"Win","Loss")</f>
        <v>Loss</v>
      </c>
      <c r="M61" s="14">
        <f t="shared" si="0"/>
        <v>-50</v>
      </c>
      <c r="N61" s="14">
        <f t="shared" si="1"/>
        <v>50</v>
      </c>
    </row>
    <row r="62" spans="1:14" ht="12.75" x14ac:dyDescent="0.2">
      <c r="A62" s="1" t="s">
        <v>993</v>
      </c>
      <c r="B62" s="3" t="s">
        <v>994</v>
      </c>
      <c r="C62" s="4">
        <v>43240</v>
      </c>
      <c r="D62" s="2">
        <v>0.70833333333333337</v>
      </c>
      <c r="E62" s="1" t="s">
        <v>32</v>
      </c>
      <c r="F62" s="5">
        <v>4</v>
      </c>
      <c r="G62" s="5">
        <v>1</v>
      </c>
      <c r="H62" s="1">
        <v>1.4</v>
      </c>
      <c r="I62" s="1">
        <v>3.77</v>
      </c>
      <c r="J62" s="1">
        <v>8.81</v>
      </c>
      <c r="K62" s="6">
        <f>+H62-J62</f>
        <v>-7.41</v>
      </c>
      <c r="L62" s="7" t="str">
        <f>IF(F62-G62&gt;0,"Win","Loss")</f>
        <v>Win</v>
      </c>
      <c r="M62" s="14">
        <f t="shared" si="0"/>
        <v>20</v>
      </c>
      <c r="N62" s="14">
        <f t="shared" si="1"/>
        <v>50</v>
      </c>
    </row>
    <row r="63" spans="1:14" ht="12.75" x14ac:dyDescent="0.2">
      <c r="A63" s="1" t="s">
        <v>993</v>
      </c>
      <c r="B63" s="3" t="s">
        <v>994</v>
      </c>
      <c r="C63" s="4">
        <v>43240</v>
      </c>
      <c r="D63" s="2">
        <v>0.625</v>
      </c>
      <c r="E63" s="1" t="s">
        <v>33</v>
      </c>
      <c r="F63" s="5">
        <v>2</v>
      </c>
      <c r="G63" s="5">
        <v>0</v>
      </c>
      <c r="H63" s="1">
        <v>1.92</v>
      </c>
      <c r="I63" s="1">
        <v>3.22</v>
      </c>
      <c r="J63" s="1">
        <v>3.61</v>
      </c>
      <c r="K63" s="6">
        <f>+H63-J63</f>
        <v>-1.69</v>
      </c>
      <c r="L63" s="7" t="str">
        <f>IF(F63-G63&gt;0,"Win","Loss")</f>
        <v>Win</v>
      </c>
      <c r="M63" s="14">
        <f t="shared" si="0"/>
        <v>46</v>
      </c>
      <c r="N63" s="14">
        <f t="shared" si="1"/>
        <v>50</v>
      </c>
    </row>
    <row r="64" spans="1:14" ht="12.75" x14ac:dyDescent="0.2">
      <c r="A64" s="1" t="s">
        <v>993</v>
      </c>
      <c r="B64" s="3" t="s">
        <v>994</v>
      </c>
      <c r="C64" s="4">
        <v>43240</v>
      </c>
      <c r="D64" s="2">
        <v>0.54166666666666663</v>
      </c>
      <c r="E64" s="1" t="s">
        <v>34</v>
      </c>
      <c r="F64" s="5">
        <v>2</v>
      </c>
      <c r="G64" s="5">
        <v>0</v>
      </c>
      <c r="H64" s="1">
        <v>1.67</v>
      </c>
      <c r="I64" s="1">
        <v>3.4</v>
      </c>
      <c r="J64" s="1">
        <v>4.5</v>
      </c>
      <c r="K64" s="6">
        <f>+H64-J64</f>
        <v>-2.83</v>
      </c>
      <c r="L64" s="7" t="str">
        <f>IF(F64-G64&gt;0,"Win","Loss")</f>
        <v>Win</v>
      </c>
      <c r="M64" s="14">
        <f t="shared" si="0"/>
        <v>33.5</v>
      </c>
      <c r="N64" s="14">
        <f t="shared" si="1"/>
        <v>50</v>
      </c>
    </row>
    <row r="65" spans="1:14" ht="12.75" x14ac:dyDescent="0.2">
      <c r="A65" s="1" t="s">
        <v>993</v>
      </c>
      <c r="B65" s="3" t="s">
        <v>994</v>
      </c>
      <c r="C65" s="4">
        <v>43240</v>
      </c>
      <c r="D65" s="2">
        <v>0.54166666666666663</v>
      </c>
      <c r="E65" s="1" t="s">
        <v>35</v>
      </c>
      <c r="F65" s="5">
        <v>3</v>
      </c>
      <c r="G65" s="5">
        <v>0</v>
      </c>
      <c r="H65" s="1">
        <v>1.51</v>
      </c>
      <c r="I65" s="1">
        <v>3.55</v>
      </c>
      <c r="J65" s="1">
        <v>5.81</v>
      </c>
      <c r="K65" s="6">
        <f>+H65-J65</f>
        <v>-4.3</v>
      </c>
      <c r="L65" s="7" t="str">
        <f>IF(F65-G65&gt;0,"Win","Loss")</f>
        <v>Win</v>
      </c>
      <c r="M65" s="14">
        <f t="shared" si="0"/>
        <v>25.5</v>
      </c>
      <c r="N65" s="14">
        <f t="shared" si="1"/>
        <v>50</v>
      </c>
    </row>
    <row r="66" spans="1:14" ht="12.75" x14ac:dyDescent="0.2">
      <c r="A66" s="1" t="s">
        <v>1008</v>
      </c>
      <c r="B66" s="3" t="s">
        <v>1009</v>
      </c>
      <c r="C66" s="4">
        <v>43240</v>
      </c>
      <c r="D66" s="2">
        <v>0.67708333333333337</v>
      </c>
      <c r="E66" s="1" t="s">
        <v>416</v>
      </c>
      <c r="F66" s="5">
        <v>0</v>
      </c>
      <c r="G66" s="5">
        <v>0</v>
      </c>
      <c r="H66" s="1">
        <v>2.65</v>
      </c>
      <c r="I66" s="1">
        <v>2.76</v>
      </c>
      <c r="J66" s="1">
        <v>2.91</v>
      </c>
      <c r="K66" s="6">
        <f>+H66-J66</f>
        <v>-0.26000000000000023</v>
      </c>
      <c r="L66" s="7" t="str">
        <f>IF(F66-G66&gt;0,"Win","Loss")</f>
        <v>Loss</v>
      </c>
      <c r="M66" s="14">
        <f t="shared" si="0"/>
        <v>-50</v>
      </c>
      <c r="N66" s="14">
        <f t="shared" si="1"/>
        <v>50</v>
      </c>
    </row>
    <row r="67" spans="1:14" ht="12.75" x14ac:dyDescent="0.2">
      <c r="A67" s="1" t="s">
        <v>1008</v>
      </c>
      <c r="B67" s="3" t="s">
        <v>1009</v>
      </c>
      <c r="C67" s="4">
        <v>43240</v>
      </c>
      <c r="D67" s="2">
        <v>0.59375</v>
      </c>
      <c r="E67" s="1" t="s">
        <v>417</v>
      </c>
      <c r="F67" s="5">
        <v>0</v>
      </c>
      <c r="G67" s="5">
        <v>0</v>
      </c>
      <c r="H67" s="1">
        <v>2.54</v>
      </c>
      <c r="I67" s="1">
        <v>2.82</v>
      </c>
      <c r="J67" s="1">
        <v>2.97</v>
      </c>
      <c r="K67" s="6">
        <f>+H67-J67</f>
        <v>-0.43000000000000016</v>
      </c>
      <c r="L67" s="7" t="str">
        <f>IF(F67-G67&gt;0,"Win","Loss")</f>
        <v>Loss</v>
      </c>
      <c r="M67" s="14">
        <f t="shared" si="0"/>
        <v>-50</v>
      </c>
      <c r="N67" s="14">
        <f t="shared" si="1"/>
        <v>50</v>
      </c>
    </row>
    <row r="68" spans="1:14" ht="12.75" x14ac:dyDescent="0.2">
      <c r="A68" s="1" t="s">
        <v>1008</v>
      </c>
      <c r="B68" s="3" t="s">
        <v>1009</v>
      </c>
      <c r="C68" s="4">
        <v>43241</v>
      </c>
      <c r="D68" s="2">
        <v>0.73958333333333337</v>
      </c>
      <c r="E68" s="1" t="s">
        <v>414</v>
      </c>
      <c r="F68" s="5">
        <v>0</v>
      </c>
      <c r="G68" s="5">
        <v>2</v>
      </c>
      <c r="H68" s="1">
        <v>2.75</v>
      </c>
      <c r="I68" s="1">
        <v>2.8</v>
      </c>
      <c r="J68" s="1">
        <v>2.73</v>
      </c>
      <c r="K68" s="6">
        <f>+H68-J68</f>
        <v>2.0000000000000018E-2</v>
      </c>
      <c r="L68" s="7" t="str">
        <f>IF(F68-G68&gt;0,"Win","Loss")</f>
        <v>Loss</v>
      </c>
      <c r="M68" s="14">
        <f t="shared" si="0"/>
        <v>-50</v>
      </c>
      <c r="N68" s="14">
        <f t="shared" si="1"/>
        <v>50</v>
      </c>
    </row>
    <row r="69" spans="1:14" ht="12.75" x14ac:dyDescent="0.2">
      <c r="A69" s="1" t="s">
        <v>1008</v>
      </c>
      <c r="B69" s="3" t="s">
        <v>1009</v>
      </c>
      <c r="C69" s="4">
        <v>43241</v>
      </c>
      <c r="D69" s="2">
        <v>0.65625</v>
      </c>
      <c r="E69" s="1" t="s">
        <v>415</v>
      </c>
      <c r="F69" s="5">
        <v>2</v>
      </c>
      <c r="G69" s="5">
        <v>0</v>
      </c>
      <c r="H69" s="1">
        <v>2.73</v>
      </c>
      <c r="I69" s="1">
        <v>2.9</v>
      </c>
      <c r="J69" s="1">
        <v>2.6</v>
      </c>
      <c r="K69" s="6">
        <f>+H69-J69</f>
        <v>0.12999999999999989</v>
      </c>
      <c r="L69" s="7" t="str">
        <f>IF(F69-G69&gt;0,"Win","Loss")</f>
        <v>Win</v>
      </c>
      <c r="M69" s="14">
        <f t="shared" si="0"/>
        <v>86.5</v>
      </c>
      <c r="N69" s="14">
        <f t="shared" si="1"/>
        <v>50</v>
      </c>
    </row>
    <row r="70" spans="1:14" ht="12.75" x14ac:dyDescent="0.2">
      <c r="A70" s="1" t="s">
        <v>1008</v>
      </c>
      <c r="B70" s="3" t="s">
        <v>1009</v>
      </c>
      <c r="C70" s="4">
        <v>43242</v>
      </c>
      <c r="D70" s="2">
        <v>0.73958333333333337</v>
      </c>
      <c r="E70" s="1" t="s">
        <v>412</v>
      </c>
      <c r="F70" s="5">
        <v>1</v>
      </c>
      <c r="G70" s="5">
        <v>1</v>
      </c>
      <c r="H70" s="1">
        <v>1.98</v>
      </c>
      <c r="I70" s="1">
        <v>3.22</v>
      </c>
      <c r="J70" s="1">
        <v>3.71</v>
      </c>
      <c r="K70" s="6">
        <f>+H70-J70</f>
        <v>-1.73</v>
      </c>
      <c r="L70" s="7" t="str">
        <f>IF(F70-G70&gt;0,"Win","Loss")</f>
        <v>Loss</v>
      </c>
      <c r="M70" s="14">
        <f t="shared" si="0"/>
        <v>-50</v>
      </c>
      <c r="N70" s="14">
        <f t="shared" si="1"/>
        <v>50</v>
      </c>
    </row>
    <row r="71" spans="1:14" ht="12.75" x14ac:dyDescent="0.2">
      <c r="A71" s="1" t="s">
        <v>1008</v>
      </c>
      <c r="B71" s="3" t="s">
        <v>1009</v>
      </c>
      <c r="C71" s="4">
        <v>43242</v>
      </c>
      <c r="D71" s="2">
        <v>0.65625</v>
      </c>
      <c r="E71" s="1" t="s">
        <v>413</v>
      </c>
      <c r="F71" s="5">
        <v>0</v>
      </c>
      <c r="G71" s="5">
        <v>1</v>
      </c>
      <c r="H71" s="1">
        <v>4.95</v>
      </c>
      <c r="I71" s="1">
        <v>3.28</v>
      </c>
      <c r="J71" s="1">
        <v>1.74</v>
      </c>
      <c r="K71" s="6">
        <f>+H71-J71</f>
        <v>3.21</v>
      </c>
      <c r="L71" s="7" t="str">
        <f>IF(F71-G71&gt;0,"Win","Loss")</f>
        <v>Loss</v>
      </c>
      <c r="M71" s="14">
        <f t="shared" si="0"/>
        <v>-50</v>
      </c>
      <c r="N71" s="14">
        <f t="shared" si="1"/>
        <v>50</v>
      </c>
    </row>
    <row r="72" spans="1:14" ht="12.75" x14ac:dyDescent="0.2">
      <c r="A72" s="1" t="s">
        <v>1008</v>
      </c>
      <c r="B72" s="3" t="s">
        <v>1009</v>
      </c>
      <c r="C72" s="4">
        <v>43243</v>
      </c>
      <c r="D72" s="2">
        <v>0.67708333333333337</v>
      </c>
      <c r="E72" s="1" t="s">
        <v>410</v>
      </c>
      <c r="F72" s="5">
        <v>0</v>
      </c>
      <c r="G72" s="5">
        <v>1</v>
      </c>
      <c r="H72" s="1">
        <v>2.96</v>
      </c>
      <c r="I72" s="1">
        <v>3.01</v>
      </c>
      <c r="J72" s="1">
        <v>2.39</v>
      </c>
      <c r="K72" s="6">
        <f>+H72-J72</f>
        <v>0.56999999999999984</v>
      </c>
      <c r="L72" s="7" t="str">
        <f>IF(F72-G72&gt;0,"Win","Loss")</f>
        <v>Loss</v>
      </c>
      <c r="M72" s="14">
        <f t="shared" si="0"/>
        <v>-50</v>
      </c>
      <c r="N72" s="14">
        <f t="shared" si="1"/>
        <v>50</v>
      </c>
    </row>
    <row r="73" spans="1:14" ht="12.75" x14ac:dyDescent="0.2">
      <c r="A73" s="1" t="s">
        <v>1008</v>
      </c>
      <c r="B73" s="3" t="s">
        <v>1009</v>
      </c>
      <c r="C73" s="4">
        <v>43243</v>
      </c>
      <c r="D73" s="2">
        <v>0.59375</v>
      </c>
      <c r="E73" s="1" t="s">
        <v>411</v>
      </c>
      <c r="F73" s="5">
        <v>1</v>
      </c>
      <c r="G73" s="5">
        <v>1</v>
      </c>
      <c r="H73" s="1">
        <v>3.03</v>
      </c>
      <c r="I73" s="1">
        <v>3.14</v>
      </c>
      <c r="J73" s="1">
        <v>2.2999999999999998</v>
      </c>
      <c r="K73" s="6">
        <f>+H73-J73</f>
        <v>0.73</v>
      </c>
      <c r="L73" s="7" t="str">
        <f>IF(F73-G73&gt;0,"Win","Loss")</f>
        <v>Loss</v>
      </c>
      <c r="M73" s="14">
        <f t="shared" si="0"/>
        <v>-50</v>
      </c>
      <c r="N73" s="14">
        <f t="shared" si="1"/>
        <v>50</v>
      </c>
    </row>
    <row r="74" spans="1:14" ht="12.75" x14ac:dyDescent="0.2">
      <c r="A74" s="1" t="s">
        <v>1008</v>
      </c>
      <c r="B74" s="3" t="s">
        <v>1009</v>
      </c>
      <c r="C74" s="4">
        <v>43246</v>
      </c>
      <c r="D74" s="2">
        <v>0.60416666666666663</v>
      </c>
      <c r="E74" s="1" t="s">
        <v>409</v>
      </c>
      <c r="F74" s="5">
        <v>6</v>
      </c>
      <c r="G74" s="5">
        <v>1</v>
      </c>
      <c r="H74" s="1">
        <v>1.84</v>
      </c>
      <c r="I74" s="1">
        <v>3.15</v>
      </c>
      <c r="J74" s="1">
        <v>4.46</v>
      </c>
      <c r="K74" s="6">
        <f>+H74-J74</f>
        <v>-2.62</v>
      </c>
      <c r="L74" s="7" t="str">
        <f>IF(F74-G74&gt;0,"Win","Loss")</f>
        <v>Win</v>
      </c>
      <c r="M74" s="14">
        <f t="shared" si="0"/>
        <v>42</v>
      </c>
      <c r="N74" s="14">
        <f t="shared" si="1"/>
        <v>50</v>
      </c>
    </row>
    <row r="75" spans="1:14" ht="12.75" x14ac:dyDescent="0.2">
      <c r="A75" s="1" t="s">
        <v>1008</v>
      </c>
      <c r="B75" s="3" t="s">
        <v>1009</v>
      </c>
      <c r="C75" s="4">
        <v>43247</v>
      </c>
      <c r="D75" s="2">
        <v>0.69791666666666663</v>
      </c>
      <c r="E75" s="1" t="s">
        <v>406</v>
      </c>
      <c r="F75" s="5">
        <v>1</v>
      </c>
      <c r="G75" s="5">
        <v>1</v>
      </c>
      <c r="H75" s="1">
        <v>3.79</v>
      </c>
      <c r="I75" s="1">
        <v>3.06</v>
      </c>
      <c r="J75" s="1">
        <v>2.02</v>
      </c>
      <c r="K75" s="6">
        <f>+H75-J75</f>
        <v>1.77</v>
      </c>
      <c r="L75" s="7" t="str">
        <f>IF(F75-G75&gt;0,"Win","Loss")</f>
        <v>Loss</v>
      </c>
      <c r="M75" s="14">
        <f t="shared" si="0"/>
        <v>-50</v>
      </c>
      <c r="N75" s="14">
        <f t="shared" si="1"/>
        <v>50</v>
      </c>
    </row>
    <row r="76" spans="1:14" ht="12.75" x14ac:dyDescent="0.2">
      <c r="A76" s="1" t="s">
        <v>1008</v>
      </c>
      <c r="B76" s="3" t="s">
        <v>1009</v>
      </c>
      <c r="C76" s="4">
        <v>43247</v>
      </c>
      <c r="D76" s="2">
        <v>0.625</v>
      </c>
      <c r="E76" s="1" t="s">
        <v>407</v>
      </c>
      <c r="F76" s="5">
        <v>2</v>
      </c>
      <c r="G76" s="5">
        <v>1</v>
      </c>
      <c r="H76" s="1">
        <v>1.52</v>
      </c>
      <c r="I76" s="1">
        <v>3.59</v>
      </c>
      <c r="J76" s="1">
        <v>6.57</v>
      </c>
      <c r="K76" s="6">
        <f>+H76-J76</f>
        <v>-5.0500000000000007</v>
      </c>
      <c r="L76" s="7" t="str">
        <f>IF(F76-G76&gt;0,"Win","Loss")</f>
        <v>Win</v>
      </c>
      <c r="M76" s="14">
        <f t="shared" si="0"/>
        <v>26</v>
      </c>
      <c r="N76" s="14">
        <f t="shared" si="1"/>
        <v>50</v>
      </c>
    </row>
    <row r="77" spans="1:14" ht="12.75" x14ac:dyDescent="0.2">
      <c r="A77" s="1" t="s">
        <v>1008</v>
      </c>
      <c r="B77" s="3" t="s">
        <v>1009</v>
      </c>
      <c r="C77" s="4">
        <v>43247</v>
      </c>
      <c r="D77" s="2">
        <v>0.54166666666666663</v>
      </c>
      <c r="E77" s="1" t="s">
        <v>408</v>
      </c>
      <c r="F77" s="5">
        <v>0</v>
      </c>
      <c r="G77" s="5">
        <v>2</v>
      </c>
      <c r="H77" s="1">
        <v>6.64</v>
      </c>
      <c r="I77" s="1">
        <v>3.79</v>
      </c>
      <c r="J77" s="1">
        <v>1.49</v>
      </c>
      <c r="K77" s="6">
        <f>+H77-J77</f>
        <v>5.1499999999999995</v>
      </c>
      <c r="L77" s="7" t="str">
        <f>IF(F77-G77&gt;0,"Win","Loss")</f>
        <v>Loss</v>
      </c>
      <c r="M77" s="14">
        <f t="shared" si="0"/>
        <v>-50</v>
      </c>
      <c r="N77" s="14">
        <f t="shared" si="1"/>
        <v>50</v>
      </c>
    </row>
    <row r="78" spans="1:14" ht="12.75" x14ac:dyDescent="0.2">
      <c r="A78" s="1" t="s">
        <v>1008</v>
      </c>
      <c r="B78" s="3" t="s">
        <v>1009</v>
      </c>
      <c r="C78" s="4">
        <v>43248</v>
      </c>
      <c r="D78" s="2">
        <v>0.73958333333333337</v>
      </c>
      <c r="E78" s="1" t="s">
        <v>404</v>
      </c>
      <c r="F78" s="5">
        <v>1</v>
      </c>
      <c r="G78" s="5">
        <v>0</v>
      </c>
      <c r="H78" s="1">
        <v>2.7</v>
      </c>
      <c r="I78" s="1">
        <v>2.78</v>
      </c>
      <c r="J78" s="1">
        <v>2.82</v>
      </c>
      <c r="K78" s="6">
        <f>+H78-J78</f>
        <v>-0.11999999999999966</v>
      </c>
      <c r="L78" s="7" t="str">
        <f>IF(F78-G78&gt;0,"Win","Loss")</f>
        <v>Win</v>
      </c>
      <c r="M78" s="14">
        <f t="shared" ref="M78:M141" si="2">IF(L78="Win",(H78*N78)-N78,-N78)</f>
        <v>85</v>
      </c>
      <c r="N78" s="14">
        <f t="shared" ref="N78:N141" si="3">+$M$1</f>
        <v>50</v>
      </c>
    </row>
    <row r="79" spans="1:14" ht="12.75" x14ac:dyDescent="0.2">
      <c r="A79" s="1" t="s">
        <v>1008</v>
      </c>
      <c r="B79" s="3" t="s">
        <v>1009</v>
      </c>
      <c r="C79" s="4">
        <v>43248</v>
      </c>
      <c r="D79" s="2">
        <v>0.65625</v>
      </c>
      <c r="E79" s="1" t="s">
        <v>405</v>
      </c>
      <c r="F79" s="5">
        <v>1</v>
      </c>
      <c r="G79" s="5">
        <v>1</v>
      </c>
      <c r="H79" s="1">
        <v>1.21</v>
      </c>
      <c r="I79" s="1">
        <v>5.5</v>
      </c>
      <c r="J79" s="1">
        <v>13.85</v>
      </c>
      <c r="K79" s="6">
        <f>+H79-J79</f>
        <v>-12.64</v>
      </c>
      <c r="L79" s="7" t="str">
        <f>IF(F79-G79&gt;0,"Win","Loss")</f>
        <v>Loss</v>
      </c>
      <c r="M79" s="14">
        <f t="shared" si="2"/>
        <v>-50</v>
      </c>
      <c r="N79" s="14">
        <f t="shared" si="3"/>
        <v>50</v>
      </c>
    </row>
    <row r="80" spans="1:14" ht="12.75" x14ac:dyDescent="0.2">
      <c r="A80" s="1" t="s">
        <v>1008</v>
      </c>
      <c r="B80" s="3" t="s">
        <v>1009</v>
      </c>
      <c r="C80" s="4">
        <v>43249</v>
      </c>
      <c r="D80" s="2">
        <v>0.73958333333333337</v>
      </c>
      <c r="E80" s="1" t="s">
        <v>402</v>
      </c>
      <c r="F80" s="5">
        <v>1</v>
      </c>
      <c r="G80" s="5">
        <v>1</v>
      </c>
      <c r="H80" s="1">
        <v>1.41</v>
      </c>
      <c r="I80" s="1">
        <v>4.1399999999999997</v>
      </c>
      <c r="J80" s="1">
        <v>7.41</v>
      </c>
      <c r="K80" s="6">
        <f>+H80-J80</f>
        <v>-6</v>
      </c>
      <c r="L80" s="7" t="str">
        <f>IF(F80-G80&gt;0,"Win","Loss")</f>
        <v>Loss</v>
      </c>
      <c r="M80" s="14">
        <f t="shared" si="2"/>
        <v>-50</v>
      </c>
      <c r="N80" s="14">
        <f t="shared" si="3"/>
        <v>50</v>
      </c>
    </row>
    <row r="81" spans="1:14" ht="12.75" x14ac:dyDescent="0.2">
      <c r="A81" s="1" t="s">
        <v>1008</v>
      </c>
      <c r="B81" s="3" t="s">
        <v>1009</v>
      </c>
      <c r="C81" s="4">
        <v>43249</v>
      </c>
      <c r="D81" s="2">
        <v>0.65625</v>
      </c>
      <c r="E81" s="1" t="s">
        <v>403</v>
      </c>
      <c r="F81" s="5">
        <v>2</v>
      </c>
      <c r="G81" s="5">
        <v>0</v>
      </c>
      <c r="H81" s="1">
        <v>2.2999999999999998</v>
      </c>
      <c r="I81" s="1">
        <v>2.86</v>
      </c>
      <c r="J81" s="1">
        <v>3.29</v>
      </c>
      <c r="K81" s="6">
        <f>+H81-J81</f>
        <v>-0.99000000000000021</v>
      </c>
      <c r="L81" s="7" t="str">
        <f>IF(F81-G81&gt;0,"Win","Loss")</f>
        <v>Win</v>
      </c>
      <c r="M81" s="14">
        <f t="shared" si="2"/>
        <v>64.999999999999986</v>
      </c>
      <c r="N81" s="14">
        <f t="shared" si="3"/>
        <v>50</v>
      </c>
    </row>
    <row r="82" spans="1:14" ht="12.75" x14ac:dyDescent="0.2">
      <c r="A82" s="1" t="s">
        <v>1008</v>
      </c>
      <c r="B82" s="3" t="s">
        <v>1009</v>
      </c>
      <c r="C82" s="4">
        <v>43252</v>
      </c>
      <c r="D82" s="2">
        <v>0.73958333333333337</v>
      </c>
      <c r="E82" s="1" t="s">
        <v>400</v>
      </c>
      <c r="F82" s="5">
        <v>0</v>
      </c>
      <c r="G82" s="5">
        <v>1</v>
      </c>
      <c r="H82" s="1">
        <v>2.81</v>
      </c>
      <c r="I82" s="1">
        <v>2.82</v>
      </c>
      <c r="J82" s="1">
        <v>2.7</v>
      </c>
      <c r="K82" s="6">
        <f>+H82-J82</f>
        <v>0.10999999999999988</v>
      </c>
      <c r="L82" s="7" t="str">
        <f>IF(F82-G82&gt;0,"Win","Loss")</f>
        <v>Loss</v>
      </c>
      <c r="M82" s="14">
        <f t="shared" si="2"/>
        <v>-50</v>
      </c>
      <c r="N82" s="14">
        <f t="shared" si="3"/>
        <v>50</v>
      </c>
    </row>
    <row r="83" spans="1:14" ht="12.75" x14ac:dyDescent="0.2">
      <c r="A83" s="1" t="s">
        <v>1008</v>
      </c>
      <c r="B83" s="3" t="s">
        <v>1009</v>
      </c>
      <c r="C83" s="4">
        <v>43252</v>
      </c>
      <c r="D83" s="2">
        <v>0.65625</v>
      </c>
      <c r="E83" s="1" t="s">
        <v>401</v>
      </c>
      <c r="F83" s="5">
        <v>1</v>
      </c>
      <c r="G83" s="5">
        <v>0</v>
      </c>
      <c r="H83" s="1">
        <v>1.49</v>
      </c>
      <c r="I83" s="1">
        <v>3.81</v>
      </c>
      <c r="J83" s="1">
        <v>6.95</v>
      </c>
      <c r="K83" s="6">
        <f>+H83-J83</f>
        <v>-5.46</v>
      </c>
      <c r="L83" s="7" t="str">
        <f>IF(F83-G83&gt;0,"Win","Loss")</f>
        <v>Win</v>
      </c>
      <c r="M83" s="14">
        <f t="shared" si="2"/>
        <v>24.5</v>
      </c>
      <c r="N83" s="14">
        <f t="shared" si="3"/>
        <v>50</v>
      </c>
    </row>
    <row r="84" spans="1:14" ht="12.75" x14ac:dyDescent="0.2">
      <c r="A84" s="1" t="s">
        <v>1008</v>
      </c>
      <c r="B84" s="3" t="s">
        <v>1009</v>
      </c>
      <c r="C84" s="4">
        <v>43253</v>
      </c>
      <c r="D84" s="2">
        <v>0.73958333333333337</v>
      </c>
      <c r="E84" s="1" t="s">
        <v>396</v>
      </c>
      <c r="F84" s="5">
        <v>2</v>
      </c>
      <c r="G84" s="5">
        <v>1</v>
      </c>
      <c r="H84" s="1">
        <v>9.49</v>
      </c>
      <c r="I84" s="1">
        <v>4.47</v>
      </c>
      <c r="J84" s="1">
        <v>1.33</v>
      </c>
      <c r="K84" s="6">
        <f>+H84-J84</f>
        <v>8.16</v>
      </c>
      <c r="L84" s="7" t="str">
        <f>IF(F84-G84&gt;0,"Win","Loss")</f>
        <v>Win</v>
      </c>
      <c r="M84" s="14">
        <f t="shared" si="2"/>
        <v>424.5</v>
      </c>
      <c r="N84" s="14">
        <f t="shared" si="3"/>
        <v>50</v>
      </c>
    </row>
    <row r="85" spans="1:14" ht="12.75" x14ac:dyDescent="0.2">
      <c r="A85" s="1" t="s">
        <v>1008</v>
      </c>
      <c r="B85" s="3" t="s">
        <v>1009</v>
      </c>
      <c r="C85" s="4">
        <v>43253</v>
      </c>
      <c r="D85" s="2">
        <v>0.65625</v>
      </c>
      <c r="E85" s="1" t="s">
        <v>397</v>
      </c>
      <c r="F85" s="5">
        <v>1</v>
      </c>
      <c r="G85" s="5">
        <v>0</v>
      </c>
      <c r="H85" s="1">
        <v>1.72</v>
      </c>
      <c r="I85" s="1">
        <v>3.26</v>
      </c>
      <c r="J85" s="1">
        <v>5.1100000000000003</v>
      </c>
      <c r="K85" s="6">
        <f>+H85-J85</f>
        <v>-3.3900000000000006</v>
      </c>
      <c r="L85" s="7" t="str">
        <f>IF(F85-G85&gt;0,"Win","Loss")</f>
        <v>Win</v>
      </c>
      <c r="M85" s="14">
        <f t="shared" si="2"/>
        <v>36</v>
      </c>
      <c r="N85" s="14">
        <f t="shared" si="3"/>
        <v>50</v>
      </c>
    </row>
    <row r="86" spans="1:14" ht="12.75" x14ac:dyDescent="0.2">
      <c r="A86" s="1" t="s">
        <v>1008</v>
      </c>
      <c r="B86" s="3" t="s">
        <v>1009</v>
      </c>
      <c r="C86" s="4">
        <v>43253</v>
      </c>
      <c r="D86" s="2">
        <v>0.57291666666666663</v>
      </c>
      <c r="E86" s="1" t="s">
        <v>398</v>
      </c>
      <c r="F86" s="5">
        <v>0</v>
      </c>
      <c r="G86" s="5">
        <v>1</v>
      </c>
      <c r="H86" s="1">
        <v>3.28</v>
      </c>
      <c r="I86" s="1">
        <v>2.85</v>
      </c>
      <c r="J86" s="1">
        <v>2.34</v>
      </c>
      <c r="K86" s="6">
        <f>+H86-J86</f>
        <v>0.94</v>
      </c>
      <c r="L86" s="7" t="str">
        <f>IF(F86-G86&gt;0,"Win","Loss")</f>
        <v>Loss</v>
      </c>
      <c r="M86" s="14">
        <f t="shared" si="2"/>
        <v>-50</v>
      </c>
      <c r="N86" s="14">
        <f t="shared" si="3"/>
        <v>50</v>
      </c>
    </row>
    <row r="87" spans="1:14" ht="12.75" x14ac:dyDescent="0.2">
      <c r="A87" s="1" t="s">
        <v>1008</v>
      </c>
      <c r="B87" s="3" t="s">
        <v>1009</v>
      </c>
      <c r="C87" s="4">
        <v>43253</v>
      </c>
      <c r="D87" s="2">
        <v>0.48958333333333331</v>
      </c>
      <c r="E87" s="1" t="s">
        <v>399</v>
      </c>
      <c r="F87" s="5">
        <v>1</v>
      </c>
      <c r="G87" s="5">
        <v>1</v>
      </c>
      <c r="H87" s="1">
        <v>8.68</v>
      </c>
      <c r="I87" s="1">
        <v>4.5</v>
      </c>
      <c r="J87" s="1">
        <v>1.34</v>
      </c>
      <c r="K87" s="6">
        <f>+H87-J87</f>
        <v>7.34</v>
      </c>
      <c r="L87" s="7" t="str">
        <f>IF(F87-G87&gt;0,"Win","Loss")</f>
        <v>Loss</v>
      </c>
      <c r="M87" s="14">
        <f t="shared" si="2"/>
        <v>-50</v>
      </c>
      <c r="N87" s="14">
        <f t="shared" si="3"/>
        <v>50</v>
      </c>
    </row>
    <row r="88" spans="1:14" ht="12.75" x14ac:dyDescent="0.2">
      <c r="A88" s="1" t="s">
        <v>1008</v>
      </c>
      <c r="B88" s="3" t="s">
        <v>1009</v>
      </c>
      <c r="C88" s="4">
        <v>43254</v>
      </c>
      <c r="D88" s="2">
        <v>0.625</v>
      </c>
      <c r="E88" s="1" t="s">
        <v>394</v>
      </c>
      <c r="F88" s="5">
        <v>2</v>
      </c>
      <c r="G88" s="5">
        <v>0</v>
      </c>
      <c r="H88" s="1">
        <v>2</v>
      </c>
      <c r="I88" s="1">
        <v>3</v>
      </c>
      <c r="J88" s="1">
        <v>4.01</v>
      </c>
      <c r="K88" s="6">
        <f>+H88-J88</f>
        <v>-2.0099999999999998</v>
      </c>
      <c r="L88" s="7" t="str">
        <f>IF(F88-G88&gt;0,"Win","Loss")</f>
        <v>Win</v>
      </c>
      <c r="M88" s="14">
        <f t="shared" si="2"/>
        <v>50</v>
      </c>
      <c r="N88" s="14">
        <f t="shared" si="3"/>
        <v>50</v>
      </c>
    </row>
    <row r="89" spans="1:14" ht="12.75" x14ac:dyDescent="0.2">
      <c r="A89" s="1" t="s">
        <v>1008</v>
      </c>
      <c r="B89" s="3" t="s">
        <v>1009</v>
      </c>
      <c r="C89" s="4">
        <v>43254</v>
      </c>
      <c r="D89" s="2">
        <v>0.54166666666666663</v>
      </c>
      <c r="E89" s="1" t="s">
        <v>395</v>
      </c>
      <c r="F89" s="5">
        <v>1</v>
      </c>
      <c r="G89" s="5">
        <v>0</v>
      </c>
      <c r="H89" s="1">
        <v>1.72</v>
      </c>
      <c r="I89" s="1">
        <v>3.38</v>
      </c>
      <c r="J89" s="1">
        <v>4.9000000000000004</v>
      </c>
      <c r="K89" s="6">
        <f>+H89-J89</f>
        <v>-3.1800000000000006</v>
      </c>
      <c r="L89" s="7" t="str">
        <f>IF(F89-G89&gt;0,"Win","Loss")</f>
        <v>Win</v>
      </c>
      <c r="M89" s="14">
        <f t="shared" si="2"/>
        <v>36</v>
      </c>
      <c r="N89" s="14">
        <f t="shared" si="3"/>
        <v>50</v>
      </c>
    </row>
    <row r="90" spans="1:14" ht="12.75" x14ac:dyDescent="0.2">
      <c r="A90" s="1" t="s">
        <v>1008</v>
      </c>
      <c r="B90" s="3" t="s">
        <v>1009</v>
      </c>
      <c r="C90" s="4">
        <v>43262</v>
      </c>
      <c r="D90" s="2">
        <v>0.69791666666666663</v>
      </c>
      <c r="E90" s="1" t="s">
        <v>392</v>
      </c>
      <c r="F90" s="5">
        <v>1</v>
      </c>
      <c r="G90" s="5">
        <v>2</v>
      </c>
      <c r="H90" s="1">
        <v>4.24</v>
      </c>
      <c r="I90" s="1">
        <v>3.12</v>
      </c>
      <c r="J90" s="1">
        <v>1.91</v>
      </c>
      <c r="K90" s="6">
        <f>+H90-J90</f>
        <v>2.33</v>
      </c>
      <c r="L90" s="7" t="str">
        <f>IF(F90-G90&gt;0,"Win","Loss")</f>
        <v>Loss</v>
      </c>
      <c r="M90" s="14">
        <f t="shared" si="2"/>
        <v>-50</v>
      </c>
      <c r="N90" s="14">
        <f t="shared" si="3"/>
        <v>50</v>
      </c>
    </row>
    <row r="91" spans="1:14" ht="12.75" x14ac:dyDescent="0.2">
      <c r="A91" s="1" t="s">
        <v>1008</v>
      </c>
      <c r="B91" s="3" t="s">
        <v>1009</v>
      </c>
      <c r="C91" s="4">
        <v>43262</v>
      </c>
      <c r="D91" s="2">
        <v>0.61458333333333337</v>
      </c>
      <c r="E91" s="1" t="s">
        <v>393</v>
      </c>
      <c r="F91" s="5">
        <v>2</v>
      </c>
      <c r="G91" s="5">
        <v>0</v>
      </c>
      <c r="H91" s="1">
        <v>3.09</v>
      </c>
      <c r="I91" s="1">
        <v>2.8</v>
      </c>
      <c r="J91" s="1">
        <v>2.5099999999999998</v>
      </c>
      <c r="K91" s="6">
        <f>+H91-J91</f>
        <v>0.58000000000000007</v>
      </c>
      <c r="L91" s="7" t="str">
        <f>IF(F91-G91&gt;0,"Win","Loss")</f>
        <v>Win</v>
      </c>
      <c r="M91" s="14">
        <f t="shared" si="2"/>
        <v>104.5</v>
      </c>
      <c r="N91" s="14">
        <f t="shared" si="3"/>
        <v>50</v>
      </c>
    </row>
    <row r="92" spans="1:14" ht="12.75" x14ac:dyDescent="0.2">
      <c r="A92" s="1" t="s">
        <v>1008</v>
      </c>
      <c r="B92" s="3" t="s">
        <v>1009</v>
      </c>
      <c r="C92" s="4">
        <v>43263</v>
      </c>
      <c r="D92" s="2">
        <v>0.73958333333333337</v>
      </c>
      <c r="E92" s="1" t="s">
        <v>389</v>
      </c>
      <c r="F92" s="5">
        <v>2</v>
      </c>
      <c r="G92" s="5">
        <v>0</v>
      </c>
      <c r="H92" s="1">
        <v>1.18</v>
      </c>
      <c r="I92" s="1">
        <v>5.9</v>
      </c>
      <c r="J92" s="1">
        <v>17.27</v>
      </c>
      <c r="K92" s="6">
        <f>+H92-J92</f>
        <v>-16.09</v>
      </c>
      <c r="L92" s="7" t="str">
        <f>IF(F92-G92&gt;0,"Win","Loss")</f>
        <v>Win</v>
      </c>
      <c r="M92" s="14">
        <f t="shared" si="2"/>
        <v>9</v>
      </c>
      <c r="N92" s="14">
        <f t="shared" si="3"/>
        <v>50</v>
      </c>
    </row>
    <row r="93" spans="1:14" ht="12.75" x14ac:dyDescent="0.2">
      <c r="A93" s="1" t="s">
        <v>1008</v>
      </c>
      <c r="B93" s="3" t="s">
        <v>1009</v>
      </c>
      <c r="C93" s="4">
        <v>43263</v>
      </c>
      <c r="D93" s="2">
        <v>0.65625</v>
      </c>
      <c r="E93" s="1" t="s">
        <v>390</v>
      </c>
      <c r="F93" s="5">
        <v>0</v>
      </c>
      <c r="G93" s="5">
        <v>1</v>
      </c>
      <c r="H93" s="1">
        <v>2.89</v>
      </c>
      <c r="I93" s="1">
        <v>2.86</v>
      </c>
      <c r="J93" s="1">
        <v>2.58</v>
      </c>
      <c r="K93" s="6">
        <f>+H93-J93</f>
        <v>0.31000000000000005</v>
      </c>
      <c r="L93" s="7" t="str">
        <f>IF(F93-G93&gt;0,"Win","Loss")</f>
        <v>Loss</v>
      </c>
      <c r="M93" s="14">
        <f t="shared" si="2"/>
        <v>-50</v>
      </c>
      <c r="N93" s="14">
        <f t="shared" si="3"/>
        <v>50</v>
      </c>
    </row>
    <row r="94" spans="1:14" ht="12.75" x14ac:dyDescent="0.2">
      <c r="A94" s="1" t="s">
        <v>1008</v>
      </c>
      <c r="B94" s="3" t="s">
        <v>1009</v>
      </c>
      <c r="C94" s="4">
        <v>43263</v>
      </c>
      <c r="D94" s="2">
        <v>0.58333333333333337</v>
      </c>
      <c r="E94" s="1" t="s">
        <v>391</v>
      </c>
      <c r="F94" s="5">
        <v>5</v>
      </c>
      <c r="G94" s="5">
        <v>0</v>
      </c>
      <c r="H94" s="1">
        <v>2</v>
      </c>
      <c r="I94" s="1">
        <v>2.91</v>
      </c>
      <c r="J94" s="1">
        <v>4.25</v>
      </c>
      <c r="K94" s="6">
        <f>+H94-J94</f>
        <v>-2.25</v>
      </c>
      <c r="L94" s="7" t="str">
        <f>IF(F94-G94&gt;0,"Win","Loss")</f>
        <v>Win</v>
      </c>
      <c r="M94" s="14">
        <f t="shared" si="2"/>
        <v>50</v>
      </c>
      <c r="N94" s="14">
        <f t="shared" si="3"/>
        <v>50</v>
      </c>
    </row>
    <row r="95" spans="1:14" ht="12.75" x14ac:dyDescent="0.2">
      <c r="A95" s="1" t="s">
        <v>1008</v>
      </c>
      <c r="B95" s="3" t="s">
        <v>1009</v>
      </c>
      <c r="C95" s="4">
        <v>43264</v>
      </c>
      <c r="D95" s="2">
        <v>0.73958333333333337</v>
      </c>
      <c r="E95" s="1" t="s">
        <v>386</v>
      </c>
      <c r="F95" s="5">
        <v>1</v>
      </c>
      <c r="G95" s="5">
        <v>1</v>
      </c>
      <c r="H95" s="1">
        <v>2.94</v>
      </c>
      <c r="I95" s="1">
        <v>3.06</v>
      </c>
      <c r="J95" s="1">
        <v>2.4</v>
      </c>
      <c r="K95" s="6">
        <f>+H95-J95</f>
        <v>0.54</v>
      </c>
      <c r="L95" s="7" t="str">
        <f>IF(F95-G95&gt;0,"Win","Loss")</f>
        <v>Loss</v>
      </c>
      <c r="M95" s="14">
        <f t="shared" si="2"/>
        <v>-50</v>
      </c>
      <c r="N95" s="14">
        <f t="shared" si="3"/>
        <v>50</v>
      </c>
    </row>
    <row r="96" spans="1:14" ht="12.75" x14ac:dyDescent="0.2">
      <c r="A96" s="1" t="s">
        <v>1008</v>
      </c>
      <c r="B96" s="3" t="s">
        <v>1009</v>
      </c>
      <c r="C96" s="4">
        <v>43264</v>
      </c>
      <c r="D96" s="2">
        <v>0.65625</v>
      </c>
      <c r="E96" s="1" t="s">
        <v>387</v>
      </c>
      <c r="F96" s="5">
        <v>3</v>
      </c>
      <c r="G96" s="5">
        <v>0</v>
      </c>
      <c r="H96" s="1">
        <v>1.18</v>
      </c>
      <c r="I96" s="1">
        <v>5.85</v>
      </c>
      <c r="J96" s="1">
        <v>17.170000000000002</v>
      </c>
      <c r="K96" s="6">
        <f>+H96-J96</f>
        <v>-15.990000000000002</v>
      </c>
      <c r="L96" s="7" t="str">
        <f>IF(F96-G96&gt;0,"Win","Loss")</f>
        <v>Win</v>
      </c>
      <c r="M96" s="14">
        <f t="shared" si="2"/>
        <v>9</v>
      </c>
      <c r="N96" s="14">
        <f t="shared" si="3"/>
        <v>50</v>
      </c>
    </row>
    <row r="97" spans="1:14" ht="12.75" x14ac:dyDescent="0.2">
      <c r="A97" s="1" t="s">
        <v>1008</v>
      </c>
      <c r="B97" s="3" t="s">
        <v>1009</v>
      </c>
      <c r="C97" s="4">
        <v>43264</v>
      </c>
      <c r="D97" s="2">
        <v>0.58333333333333337</v>
      </c>
      <c r="E97" s="1" t="s">
        <v>388</v>
      </c>
      <c r="F97" s="5">
        <v>1</v>
      </c>
      <c r="G97" s="5">
        <v>0</v>
      </c>
      <c r="H97" s="1">
        <v>1.66</v>
      </c>
      <c r="I97" s="1">
        <v>3.28</v>
      </c>
      <c r="J97" s="1">
        <v>5.83</v>
      </c>
      <c r="K97" s="6">
        <f>+H97-J97</f>
        <v>-4.17</v>
      </c>
      <c r="L97" s="7" t="str">
        <f>IF(F97-G97&gt;0,"Win","Loss")</f>
        <v>Win</v>
      </c>
      <c r="M97" s="14">
        <f t="shared" si="2"/>
        <v>33</v>
      </c>
      <c r="N97" s="14">
        <f t="shared" si="3"/>
        <v>50</v>
      </c>
    </row>
    <row r="98" spans="1:14" ht="12.75" x14ac:dyDescent="0.2">
      <c r="A98" s="1" t="s">
        <v>1008</v>
      </c>
      <c r="B98" s="3" t="s">
        <v>1009</v>
      </c>
      <c r="C98" s="4">
        <v>43267</v>
      </c>
      <c r="D98" s="2">
        <v>0.69791666666666663</v>
      </c>
      <c r="E98" s="1" t="s">
        <v>384</v>
      </c>
      <c r="F98" s="5">
        <v>1</v>
      </c>
      <c r="G98" s="5">
        <v>2</v>
      </c>
      <c r="H98" s="1">
        <v>2.62</v>
      </c>
      <c r="I98" s="1">
        <v>2.77</v>
      </c>
      <c r="J98" s="1">
        <v>2.92</v>
      </c>
      <c r="K98" s="6">
        <f>+H98-J98</f>
        <v>-0.29999999999999982</v>
      </c>
      <c r="L98" s="7" t="str">
        <f>IF(F98-G98&gt;0,"Win","Loss")</f>
        <v>Loss</v>
      </c>
      <c r="M98" s="14">
        <f t="shared" si="2"/>
        <v>-50</v>
      </c>
      <c r="N98" s="14">
        <f t="shared" si="3"/>
        <v>50</v>
      </c>
    </row>
    <row r="99" spans="1:14" ht="12.75" x14ac:dyDescent="0.2">
      <c r="A99" s="1" t="s">
        <v>1008</v>
      </c>
      <c r="B99" s="3" t="s">
        <v>1009</v>
      </c>
      <c r="C99" s="4">
        <v>43267</v>
      </c>
      <c r="D99" s="2">
        <v>0.61458333333333337</v>
      </c>
      <c r="E99" s="1" t="s">
        <v>385</v>
      </c>
      <c r="F99" s="5">
        <v>0</v>
      </c>
      <c r="G99" s="5">
        <v>1</v>
      </c>
      <c r="H99" s="1">
        <v>4.8</v>
      </c>
      <c r="I99" s="1">
        <v>3.27</v>
      </c>
      <c r="J99" s="1">
        <v>1.77</v>
      </c>
      <c r="K99" s="6">
        <f>+H99-J99</f>
        <v>3.03</v>
      </c>
      <c r="L99" s="7" t="str">
        <f>IF(F99-G99&gt;0,"Win","Loss")</f>
        <v>Loss</v>
      </c>
      <c r="M99" s="14">
        <f t="shared" si="2"/>
        <v>-50</v>
      </c>
      <c r="N99" s="14">
        <f t="shared" si="3"/>
        <v>50</v>
      </c>
    </row>
    <row r="100" spans="1:14" ht="12.75" x14ac:dyDescent="0.2">
      <c r="A100" s="1" t="s">
        <v>1029</v>
      </c>
      <c r="B100" s="3" t="s">
        <v>1030</v>
      </c>
      <c r="C100" s="4">
        <v>43291</v>
      </c>
      <c r="D100" s="2">
        <v>0.78125</v>
      </c>
      <c r="E100" s="1" t="s">
        <v>968</v>
      </c>
      <c r="F100" s="5">
        <v>0</v>
      </c>
      <c r="G100" s="5">
        <v>1</v>
      </c>
      <c r="H100" s="1">
        <v>4.92</v>
      </c>
      <c r="I100" s="1">
        <v>3.29</v>
      </c>
      <c r="J100" s="1">
        <v>1.76</v>
      </c>
      <c r="K100" s="6">
        <f>+H100-J100</f>
        <v>3.16</v>
      </c>
      <c r="L100" s="7" t="str">
        <f>IF(F100-G100&gt;0,"Win","Loss")</f>
        <v>Loss</v>
      </c>
      <c r="M100" s="14">
        <f t="shared" si="2"/>
        <v>-50</v>
      </c>
      <c r="N100" s="14">
        <f t="shared" si="3"/>
        <v>50</v>
      </c>
    </row>
    <row r="101" spans="1:14" ht="12.75" x14ac:dyDescent="0.2">
      <c r="A101" s="1" t="s">
        <v>1029</v>
      </c>
      <c r="B101" s="3" t="s">
        <v>1030</v>
      </c>
      <c r="C101" s="4">
        <v>43291</v>
      </c>
      <c r="D101" s="2">
        <v>0.78125</v>
      </c>
      <c r="E101" s="1" t="s">
        <v>969</v>
      </c>
      <c r="F101" s="5">
        <v>0</v>
      </c>
      <c r="G101" s="5">
        <v>3</v>
      </c>
      <c r="H101" s="1">
        <v>15.79</v>
      </c>
      <c r="I101" s="1">
        <v>7.55</v>
      </c>
      <c r="J101" s="1">
        <v>1.1499999999999999</v>
      </c>
      <c r="K101" s="6">
        <f>+H101-J101</f>
        <v>14.639999999999999</v>
      </c>
      <c r="L101" s="7" t="str">
        <f>IF(F101-G101&gt;0,"Win","Loss")</f>
        <v>Loss</v>
      </c>
      <c r="M101" s="14">
        <f t="shared" si="2"/>
        <v>-50</v>
      </c>
      <c r="N101" s="14">
        <f t="shared" si="3"/>
        <v>50</v>
      </c>
    </row>
    <row r="102" spans="1:14" ht="12.75" x14ac:dyDescent="0.2">
      <c r="A102" s="1" t="s">
        <v>1029</v>
      </c>
      <c r="B102" s="3" t="s">
        <v>1030</v>
      </c>
      <c r="C102" s="4">
        <v>43291</v>
      </c>
      <c r="D102" s="2">
        <v>0.76041666666666663</v>
      </c>
      <c r="E102" s="1" t="s">
        <v>970</v>
      </c>
      <c r="F102" s="5">
        <v>5</v>
      </c>
      <c r="G102" s="5">
        <v>0</v>
      </c>
      <c r="H102" s="1">
        <v>1.26</v>
      </c>
      <c r="I102" s="1">
        <v>5.55</v>
      </c>
      <c r="J102" s="1">
        <v>9.6999999999999993</v>
      </c>
      <c r="K102" s="6">
        <f>+H102-J102</f>
        <v>-8.44</v>
      </c>
      <c r="L102" s="7" t="str">
        <f>IF(F102-G102&gt;0,"Win","Loss")</f>
        <v>Win</v>
      </c>
      <c r="M102" s="14">
        <f t="shared" si="2"/>
        <v>13</v>
      </c>
      <c r="N102" s="14">
        <f t="shared" si="3"/>
        <v>50</v>
      </c>
    </row>
    <row r="103" spans="1:14" ht="12.75" x14ac:dyDescent="0.2">
      <c r="A103" s="1" t="s">
        <v>1029</v>
      </c>
      <c r="B103" s="3" t="s">
        <v>1030</v>
      </c>
      <c r="C103" s="4">
        <v>43291</v>
      </c>
      <c r="D103" s="2">
        <v>0.75</v>
      </c>
      <c r="E103" s="1" t="s">
        <v>971</v>
      </c>
      <c r="F103" s="5">
        <v>1</v>
      </c>
      <c r="G103" s="5">
        <v>2</v>
      </c>
      <c r="H103" s="1">
        <v>8.59</v>
      </c>
      <c r="I103" s="1">
        <v>4.55</v>
      </c>
      <c r="J103" s="1">
        <v>1.36</v>
      </c>
      <c r="K103" s="6">
        <f>+H103-J103</f>
        <v>7.2299999999999995</v>
      </c>
      <c r="L103" s="7" t="str">
        <f>IF(F103-G103&gt;0,"Win","Loss")</f>
        <v>Loss</v>
      </c>
      <c r="M103" s="14">
        <f t="shared" si="2"/>
        <v>-50</v>
      </c>
      <c r="N103" s="14">
        <f t="shared" si="3"/>
        <v>50</v>
      </c>
    </row>
    <row r="104" spans="1:14" ht="12.75" x14ac:dyDescent="0.2">
      <c r="A104" s="1" t="s">
        <v>1029</v>
      </c>
      <c r="B104" s="3" t="s">
        <v>1030</v>
      </c>
      <c r="C104" s="4">
        <v>43291</v>
      </c>
      <c r="D104" s="2">
        <v>0.66666666666666663</v>
      </c>
      <c r="E104" s="1" t="s">
        <v>972</v>
      </c>
      <c r="F104" s="5">
        <v>0</v>
      </c>
      <c r="G104" s="5">
        <v>3</v>
      </c>
      <c r="H104" s="1">
        <v>13.11</v>
      </c>
      <c r="I104" s="1">
        <v>4.97</v>
      </c>
      <c r="J104" s="1">
        <v>1.26</v>
      </c>
      <c r="K104" s="6">
        <f>+H104-J104</f>
        <v>11.85</v>
      </c>
      <c r="L104" s="7" t="str">
        <f>IF(F104-G104&gt;0,"Win","Loss")</f>
        <v>Loss</v>
      </c>
      <c r="M104" s="14">
        <f t="shared" si="2"/>
        <v>-50</v>
      </c>
      <c r="N104" s="14">
        <f t="shared" si="3"/>
        <v>50</v>
      </c>
    </row>
    <row r="105" spans="1:14" ht="12.75" x14ac:dyDescent="0.2">
      <c r="A105" s="1" t="s">
        <v>1029</v>
      </c>
      <c r="B105" s="3" t="s">
        <v>1030</v>
      </c>
      <c r="C105" s="4">
        <v>43291</v>
      </c>
      <c r="D105" s="2">
        <v>0.66666666666666663</v>
      </c>
      <c r="E105" s="1" t="s">
        <v>973</v>
      </c>
      <c r="F105" s="5">
        <v>1</v>
      </c>
      <c r="G105" s="5">
        <v>1</v>
      </c>
      <c r="H105" s="1">
        <v>3.78</v>
      </c>
      <c r="I105" s="1">
        <v>3.12</v>
      </c>
      <c r="J105" s="1">
        <v>2.04</v>
      </c>
      <c r="K105" s="6">
        <f>+H105-J105</f>
        <v>1.7399999999999998</v>
      </c>
      <c r="L105" s="7" t="str">
        <f>IF(F105-G105&gt;0,"Win","Loss")</f>
        <v>Loss</v>
      </c>
      <c r="M105" s="14">
        <f t="shared" si="2"/>
        <v>-50</v>
      </c>
      <c r="N105" s="14">
        <f t="shared" si="3"/>
        <v>50</v>
      </c>
    </row>
    <row r="106" spans="1:14" ht="12.75" x14ac:dyDescent="0.2">
      <c r="A106" s="1" t="s">
        <v>1029</v>
      </c>
      <c r="B106" s="3" t="s">
        <v>1030</v>
      </c>
      <c r="C106" s="4">
        <v>43291</v>
      </c>
      <c r="D106" s="2">
        <v>0.64583333333333337</v>
      </c>
      <c r="E106" s="1" t="s">
        <v>974</v>
      </c>
      <c r="F106" s="5">
        <v>1</v>
      </c>
      <c r="G106" s="5">
        <v>4</v>
      </c>
      <c r="H106" s="1">
        <v>5.77</v>
      </c>
      <c r="I106" s="1">
        <v>3.88</v>
      </c>
      <c r="J106" s="1">
        <v>1.56</v>
      </c>
      <c r="K106" s="6">
        <f>+H106-J106</f>
        <v>4.2099999999999991</v>
      </c>
      <c r="L106" s="7" t="str">
        <f>IF(F106-G106&gt;0,"Win","Loss")</f>
        <v>Loss</v>
      </c>
      <c r="M106" s="14">
        <f t="shared" si="2"/>
        <v>-50</v>
      </c>
      <c r="N106" s="14">
        <f t="shared" si="3"/>
        <v>50</v>
      </c>
    </row>
    <row r="107" spans="1:14" ht="12.75" x14ac:dyDescent="0.2">
      <c r="A107" s="1" t="s">
        <v>1029</v>
      </c>
      <c r="B107" s="3" t="s">
        <v>1030</v>
      </c>
      <c r="C107" s="4">
        <v>43291</v>
      </c>
      <c r="D107" s="2">
        <v>0.64583333333333337</v>
      </c>
      <c r="E107" s="1" t="s">
        <v>975</v>
      </c>
      <c r="F107" s="5">
        <v>2</v>
      </c>
      <c r="G107" s="5">
        <v>1</v>
      </c>
      <c r="H107" s="1">
        <v>4.46</v>
      </c>
      <c r="I107" s="1">
        <v>3.35</v>
      </c>
      <c r="J107" s="1">
        <v>1.81</v>
      </c>
      <c r="K107" s="6">
        <f>+H107-J107</f>
        <v>2.65</v>
      </c>
      <c r="L107" s="7" t="str">
        <f>IF(F107-G107&gt;0,"Win","Loss")</f>
        <v>Win</v>
      </c>
      <c r="M107" s="14">
        <f t="shared" si="2"/>
        <v>173</v>
      </c>
      <c r="N107" s="14">
        <f t="shared" si="3"/>
        <v>50</v>
      </c>
    </row>
    <row r="108" spans="1:14" ht="12.75" x14ac:dyDescent="0.2">
      <c r="A108" s="1" t="s">
        <v>1029</v>
      </c>
      <c r="B108" s="3" t="s">
        <v>1030</v>
      </c>
      <c r="C108" s="4">
        <v>43292</v>
      </c>
      <c r="D108" s="2">
        <v>0.83333333333333337</v>
      </c>
      <c r="E108" s="1" t="s">
        <v>960</v>
      </c>
      <c r="F108" s="5">
        <v>1</v>
      </c>
      <c r="G108" s="5">
        <v>0</v>
      </c>
      <c r="H108" s="1">
        <v>4.41</v>
      </c>
      <c r="I108" s="1">
        <v>3.39</v>
      </c>
      <c r="J108" s="1">
        <v>1.83</v>
      </c>
      <c r="K108" s="6">
        <f>+H108-J108</f>
        <v>2.58</v>
      </c>
      <c r="L108" s="7" t="str">
        <f>IF(F108-G108&gt;0,"Win","Loss")</f>
        <v>Win</v>
      </c>
      <c r="M108" s="14">
        <f t="shared" si="2"/>
        <v>170.5</v>
      </c>
      <c r="N108" s="14">
        <f t="shared" si="3"/>
        <v>50</v>
      </c>
    </row>
    <row r="109" spans="1:14" ht="12.75" x14ac:dyDescent="0.2">
      <c r="A109" s="1" t="s">
        <v>1029</v>
      </c>
      <c r="B109" s="3" t="s">
        <v>1030</v>
      </c>
      <c r="C109" s="4">
        <v>43292</v>
      </c>
      <c r="D109" s="2">
        <v>0.75</v>
      </c>
      <c r="E109" s="1" t="s">
        <v>961</v>
      </c>
      <c r="F109" s="5">
        <v>0</v>
      </c>
      <c r="G109" s="5">
        <v>1</v>
      </c>
      <c r="H109" s="1">
        <v>2.81</v>
      </c>
      <c r="I109" s="1">
        <v>3.12</v>
      </c>
      <c r="J109" s="1">
        <v>2.5099999999999998</v>
      </c>
      <c r="K109" s="6">
        <f>+H109-J109</f>
        <v>0.30000000000000027</v>
      </c>
      <c r="L109" s="7" t="str">
        <f>IF(F109-G109&gt;0,"Win","Loss")</f>
        <v>Loss</v>
      </c>
      <c r="M109" s="14">
        <f t="shared" si="2"/>
        <v>-50</v>
      </c>
      <c r="N109" s="14">
        <f t="shared" si="3"/>
        <v>50</v>
      </c>
    </row>
    <row r="110" spans="1:14" ht="12.75" x14ac:dyDescent="0.2">
      <c r="A110" s="1" t="s">
        <v>1029</v>
      </c>
      <c r="B110" s="3" t="s">
        <v>1030</v>
      </c>
      <c r="C110" s="4">
        <v>43292</v>
      </c>
      <c r="D110" s="2">
        <v>0.70833333333333337</v>
      </c>
      <c r="E110" s="1" t="s">
        <v>962</v>
      </c>
      <c r="F110" s="5">
        <v>0</v>
      </c>
      <c r="G110" s="5">
        <v>0</v>
      </c>
      <c r="H110" s="1">
        <v>1.77</v>
      </c>
      <c r="I110" s="1">
        <v>3.25</v>
      </c>
      <c r="J110" s="1">
        <v>4.91</v>
      </c>
      <c r="K110" s="6">
        <f>+H110-J110</f>
        <v>-3.14</v>
      </c>
      <c r="L110" s="7" t="str">
        <f>IF(F110-G110&gt;0,"Win","Loss")</f>
        <v>Loss</v>
      </c>
      <c r="M110" s="14">
        <f t="shared" si="2"/>
        <v>-50</v>
      </c>
      <c r="N110" s="14">
        <f t="shared" si="3"/>
        <v>50</v>
      </c>
    </row>
    <row r="111" spans="1:14" ht="12.75" x14ac:dyDescent="0.2">
      <c r="A111" s="1" t="s">
        <v>1029</v>
      </c>
      <c r="B111" s="3" t="s">
        <v>1030</v>
      </c>
      <c r="C111" s="4">
        <v>43292</v>
      </c>
      <c r="D111" s="2">
        <v>0.70833333333333337</v>
      </c>
      <c r="E111" s="1" t="s">
        <v>963</v>
      </c>
      <c r="F111" s="5">
        <v>7</v>
      </c>
      <c r="G111" s="5">
        <v>0</v>
      </c>
      <c r="H111" s="1">
        <v>1.04</v>
      </c>
      <c r="I111" s="1">
        <v>12.32</v>
      </c>
      <c r="J111" s="1">
        <v>34.49</v>
      </c>
      <c r="K111" s="6">
        <f>+H111-J111</f>
        <v>-33.450000000000003</v>
      </c>
      <c r="L111" s="7" t="str">
        <f>IF(F111-G111&gt;0,"Win","Loss")</f>
        <v>Win</v>
      </c>
      <c r="M111" s="14">
        <f t="shared" si="2"/>
        <v>2</v>
      </c>
      <c r="N111" s="14">
        <f t="shared" si="3"/>
        <v>50</v>
      </c>
    </row>
    <row r="112" spans="1:14" ht="12.75" x14ac:dyDescent="0.2">
      <c r="A112" s="1" t="s">
        <v>1029</v>
      </c>
      <c r="B112" s="3" t="s">
        <v>1030</v>
      </c>
      <c r="C112" s="4">
        <v>43292</v>
      </c>
      <c r="D112" s="2">
        <v>0.66666666666666663</v>
      </c>
      <c r="E112" s="1" t="s">
        <v>964</v>
      </c>
      <c r="F112" s="5">
        <v>0</v>
      </c>
      <c r="G112" s="5">
        <v>0</v>
      </c>
      <c r="H112" s="1">
        <v>13.2</v>
      </c>
      <c r="I112" s="1">
        <v>5.77</v>
      </c>
      <c r="J112" s="1">
        <v>1.22</v>
      </c>
      <c r="K112" s="6">
        <f>+H112-J112</f>
        <v>11.979999999999999</v>
      </c>
      <c r="L112" s="7" t="str">
        <f>IF(F112-G112&gt;0,"Win","Loss")</f>
        <v>Loss</v>
      </c>
      <c r="M112" s="14">
        <f t="shared" si="2"/>
        <v>-50</v>
      </c>
      <c r="N112" s="14">
        <f t="shared" si="3"/>
        <v>50</v>
      </c>
    </row>
    <row r="113" spans="1:14" ht="12.75" x14ac:dyDescent="0.2">
      <c r="A113" s="1" t="s">
        <v>1029</v>
      </c>
      <c r="B113" s="3" t="s">
        <v>1030</v>
      </c>
      <c r="C113" s="4">
        <v>43292</v>
      </c>
      <c r="D113" s="2">
        <v>0.66666666666666663</v>
      </c>
      <c r="E113" s="1" t="s">
        <v>965</v>
      </c>
      <c r="F113" s="5">
        <v>3</v>
      </c>
      <c r="G113" s="5">
        <v>1</v>
      </c>
      <c r="H113" s="1">
        <v>6.31</v>
      </c>
      <c r="I113" s="1">
        <v>4</v>
      </c>
      <c r="J113" s="1">
        <v>1.5</v>
      </c>
      <c r="K113" s="6">
        <f>+H113-J113</f>
        <v>4.8099999999999996</v>
      </c>
      <c r="L113" s="7" t="str">
        <f>IF(F113-G113&gt;0,"Win","Loss")</f>
        <v>Win</v>
      </c>
      <c r="M113" s="14">
        <f t="shared" si="2"/>
        <v>265.5</v>
      </c>
      <c r="N113" s="14">
        <f t="shared" si="3"/>
        <v>50</v>
      </c>
    </row>
    <row r="114" spans="1:14" ht="12.75" x14ac:dyDescent="0.2">
      <c r="A114" s="1" t="s">
        <v>1029</v>
      </c>
      <c r="B114" s="3" t="s">
        <v>1030</v>
      </c>
      <c r="C114" s="4">
        <v>43292</v>
      </c>
      <c r="D114" s="2">
        <v>0.66666666666666663</v>
      </c>
      <c r="E114" s="1" t="s">
        <v>966</v>
      </c>
      <c r="F114" s="5">
        <v>1</v>
      </c>
      <c r="G114" s="5">
        <v>0</v>
      </c>
      <c r="H114" s="1">
        <v>2.27</v>
      </c>
      <c r="I114" s="1">
        <v>2.98</v>
      </c>
      <c r="J114" s="1">
        <v>3.36</v>
      </c>
      <c r="K114" s="6">
        <f>+H114-J114</f>
        <v>-1.0899999999999999</v>
      </c>
      <c r="L114" s="7" t="str">
        <f>IF(F114-G114&gt;0,"Win","Loss")</f>
        <v>Win</v>
      </c>
      <c r="M114" s="14">
        <f t="shared" si="2"/>
        <v>63.5</v>
      </c>
      <c r="N114" s="14">
        <f t="shared" si="3"/>
        <v>50</v>
      </c>
    </row>
    <row r="115" spans="1:14" ht="12.75" x14ac:dyDescent="0.2">
      <c r="A115" s="1" t="s">
        <v>1029</v>
      </c>
      <c r="B115" s="3" t="s">
        <v>1030</v>
      </c>
      <c r="C115" s="4">
        <v>43292</v>
      </c>
      <c r="D115" s="2">
        <v>0.58333333333333337</v>
      </c>
      <c r="E115" s="1" t="s">
        <v>967</v>
      </c>
      <c r="F115" s="5">
        <v>1</v>
      </c>
      <c r="G115" s="5">
        <v>0</v>
      </c>
      <c r="H115" s="1">
        <v>1.1399999999999999</v>
      </c>
      <c r="I115" s="1">
        <v>7.28</v>
      </c>
      <c r="J115" s="1">
        <v>17.36</v>
      </c>
      <c r="K115" s="6">
        <f>+H115-J115</f>
        <v>-16.22</v>
      </c>
      <c r="L115" s="7" t="str">
        <f>IF(F115-G115&gt;0,"Win","Loss")</f>
        <v>Win</v>
      </c>
      <c r="M115" s="14">
        <f t="shared" si="2"/>
        <v>6.9999999999999929</v>
      </c>
      <c r="N115" s="14">
        <f t="shared" si="3"/>
        <v>50</v>
      </c>
    </row>
    <row r="116" spans="1:14" ht="12.75" x14ac:dyDescent="0.2">
      <c r="A116" s="1" t="s">
        <v>993</v>
      </c>
      <c r="B116" s="3" t="s">
        <v>994</v>
      </c>
      <c r="C116" s="4">
        <v>43295</v>
      </c>
      <c r="D116" s="2">
        <v>0.60416666666666663</v>
      </c>
      <c r="E116" s="1" t="s">
        <v>28</v>
      </c>
      <c r="F116" s="5">
        <v>1</v>
      </c>
      <c r="G116" s="5">
        <v>1</v>
      </c>
      <c r="H116" s="1">
        <v>1.62</v>
      </c>
      <c r="I116" s="1">
        <v>3.24</v>
      </c>
      <c r="J116" s="1">
        <v>5.45</v>
      </c>
      <c r="K116" s="6">
        <f>+H116-J116</f>
        <v>-3.83</v>
      </c>
      <c r="L116" s="7" t="str">
        <f>IF(F116-G116&gt;0,"Win","Loss")</f>
        <v>Loss</v>
      </c>
      <c r="M116" s="14">
        <f t="shared" si="2"/>
        <v>-50</v>
      </c>
      <c r="N116" s="14">
        <f t="shared" si="3"/>
        <v>50</v>
      </c>
    </row>
    <row r="117" spans="1:14" ht="12.75" x14ac:dyDescent="0.2">
      <c r="A117" s="1" t="s">
        <v>993</v>
      </c>
      <c r="B117" s="3" t="s">
        <v>994</v>
      </c>
      <c r="C117" s="4">
        <v>43295</v>
      </c>
      <c r="D117" s="2">
        <v>0.54166666666666663</v>
      </c>
      <c r="E117" s="1" t="s">
        <v>29</v>
      </c>
      <c r="F117" s="5">
        <v>1</v>
      </c>
      <c r="G117" s="5">
        <v>0</v>
      </c>
      <c r="H117" s="1">
        <v>1.44</v>
      </c>
      <c r="I117" s="1">
        <v>3.71</v>
      </c>
      <c r="J117" s="1">
        <v>7</v>
      </c>
      <c r="K117" s="6">
        <f>+H117-J117</f>
        <v>-5.5600000000000005</v>
      </c>
      <c r="L117" s="7" t="str">
        <f>IF(F117-G117&gt;0,"Win","Loss")</f>
        <v>Win</v>
      </c>
      <c r="M117" s="14">
        <f t="shared" si="2"/>
        <v>22</v>
      </c>
      <c r="N117" s="14">
        <f t="shared" si="3"/>
        <v>50</v>
      </c>
    </row>
    <row r="118" spans="1:14" ht="12.75" x14ac:dyDescent="0.2">
      <c r="A118" s="1" t="s">
        <v>993</v>
      </c>
      <c r="B118" s="3" t="s">
        <v>994</v>
      </c>
      <c r="C118" s="4">
        <v>43296</v>
      </c>
      <c r="D118" s="2">
        <v>0.54166666666666663</v>
      </c>
      <c r="E118" s="1" t="s">
        <v>27</v>
      </c>
      <c r="F118" s="5">
        <v>0</v>
      </c>
      <c r="G118" s="5">
        <v>0</v>
      </c>
      <c r="H118" s="1">
        <v>1.61</v>
      </c>
      <c r="I118" s="1">
        <v>3.37</v>
      </c>
      <c r="J118" s="1">
        <v>5.55</v>
      </c>
      <c r="K118" s="6">
        <f>+H118-J118</f>
        <v>-3.9399999999999995</v>
      </c>
      <c r="L118" s="7" t="str">
        <f>IF(F118-G118&gt;0,"Win","Loss")</f>
        <v>Loss</v>
      </c>
      <c r="M118" s="14">
        <f t="shared" si="2"/>
        <v>-50</v>
      </c>
      <c r="N118" s="14">
        <f t="shared" si="3"/>
        <v>50</v>
      </c>
    </row>
    <row r="119" spans="1:14" ht="12.75" x14ac:dyDescent="0.2">
      <c r="A119" s="1" t="s">
        <v>1029</v>
      </c>
      <c r="B119" s="3" t="s">
        <v>1030</v>
      </c>
      <c r="C119" s="4">
        <v>43298</v>
      </c>
      <c r="D119" s="2">
        <v>0.79166666666666663</v>
      </c>
      <c r="E119" s="1" t="s">
        <v>950</v>
      </c>
      <c r="F119" s="5">
        <v>0</v>
      </c>
      <c r="G119" s="5">
        <v>2</v>
      </c>
      <c r="H119" s="1">
        <v>11.38</v>
      </c>
      <c r="I119" s="1">
        <v>6.47</v>
      </c>
      <c r="J119" s="1">
        <v>1.21</v>
      </c>
      <c r="K119" s="6">
        <f>+H119-J119</f>
        <v>10.170000000000002</v>
      </c>
      <c r="L119" s="7" t="str">
        <f>IF(F119-G119&gt;0,"Win","Loss")</f>
        <v>Loss</v>
      </c>
      <c r="M119" s="14">
        <f t="shared" si="2"/>
        <v>-50</v>
      </c>
      <c r="N119" s="14">
        <f t="shared" si="3"/>
        <v>50</v>
      </c>
    </row>
    <row r="120" spans="1:14" ht="12.75" x14ac:dyDescent="0.2">
      <c r="A120" s="1" t="s">
        <v>1029</v>
      </c>
      <c r="B120" s="3" t="s">
        <v>1030</v>
      </c>
      <c r="C120" s="4">
        <v>43298</v>
      </c>
      <c r="D120" s="2">
        <v>0.79166666666666663</v>
      </c>
      <c r="E120" s="1" t="s">
        <v>951</v>
      </c>
      <c r="F120" s="5">
        <v>3</v>
      </c>
      <c r="G120" s="5">
        <v>0</v>
      </c>
      <c r="H120" s="1">
        <v>1.31</v>
      </c>
      <c r="I120" s="1">
        <v>5.03</v>
      </c>
      <c r="J120" s="1">
        <v>9.9600000000000009</v>
      </c>
      <c r="K120" s="6">
        <f>+H120-J120</f>
        <v>-8.65</v>
      </c>
      <c r="L120" s="7" t="str">
        <f>IF(F120-G120&gt;0,"Win","Loss")</f>
        <v>Win</v>
      </c>
      <c r="M120" s="14">
        <f t="shared" si="2"/>
        <v>15.5</v>
      </c>
      <c r="N120" s="14">
        <f t="shared" si="3"/>
        <v>50</v>
      </c>
    </row>
    <row r="121" spans="1:14" ht="12.75" x14ac:dyDescent="0.2">
      <c r="A121" s="1" t="s">
        <v>1029</v>
      </c>
      <c r="B121" s="3" t="s">
        <v>1030</v>
      </c>
      <c r="C121" s="4">
        <v>43298</v>
      </c>
      <c r="D121" s="2">
        <v>0.77083333333333337</v>
      </c>
      <c r="E121" s="1" t="s">
        <v>952</v>
      </c>
      <c r="F121" s="5">
        <v>2</v>
      </c>
      <c r="G121" s="5">
        <v>0</v>
      </c>
      <c r="H121" s="1">
        <v>1.1000000000000001</v>
      </c>
      <c r="I121" s="1">
        <v>8.33</v>
      </c>
      <c r="J121" s="1">
        <v>23.43</v>
      </c>
      <c r="K121" s="6">
        <f>+H121-J121</f>
        <v>-22.33</v>
      </c>
      <c r="L121" s="7" t="str">
        <f>IF(F121-G121&gt;0,"Win","Loss")</f>
        <v>Win</v>
      </c>
      <c r="M121" s="14">
        <f t="shared" si="2"/>
        <v>5.0000000000000071</v>
      </c>
      <c r="N121" s="14">
        <f t="shared" si="3"/>
        <v>50</v>
      </c>
    </row>
    <row r="122" spans="1:14" ht="12.75" x14ac:dyDescent="0.2">
      <c r="A122" s="1" t="s">
        <v>1029</v>
      </c>
      <c r="B122" s="3" t="s">
        <v>1030</v>
      </c>
      <c r="C122" s="4">
        <v>43298</v>
      </c>
      <c r="D122" s="2">
        <v>0.76041666666666663</v>
      </c>
      <c r="E122" s="1" t="s">
        <v>953</v>
      </c>
      <c r="F122" s="5">
        <v>2</v>
      </c>
      <c r="G122" s="5">
        <v>1</v>
      </c>
      <c r="H122" s="1">
        <v>1.67</v>
      </c>
      <c r="I122" s="1">
        <v>3.57</v>
      </c>
      <c r="J122" s="1">
        <v>5.17</v>
      </c>
      <c r="K122" s="6">
        <f>+H122-J122</f>
        <v>-3.5</v>
      </c>
      <c r="L122" s="7" t="str">
        <f>IF(F122-G122&gt;0,"Win","Loss")</f>
        <v>Win</v>
      </c>
      <c r="M122" s="14">
        <f t="shared" si="2"/>
        <v>33.5</v>
      </c>
      <c r="N122" s="14">
        <f t="shared" si="3"/>
        <v>50</v>
      </c>
    </row>
    <row r="123" spans="1:14" ht="12.75" x14ac:dyDescent="0.2">
      <c r="A123" s="1" t="s">
        <v>1029</v>
      </c>
      <c r="B123" s="3" t="s">
        <v>1030</v>
      </c>
      <c r="C123" s="4">
        <v>43298</v>
      </c>
      <c r="D123" s="2">
        <v>0.75</v>
      </c>
      <c r="E123" s="1" t="s">
        <v>954</v>
      </c>
      <c r="F123" s="5">
        <v>4</v>
      </c>
      <c r="G123" s="5">
        <v>0</v>
      </c>
      <c r="H123" s="1">
        <v>3.72</v>
      </c>
      <c r="I123" s="1">
        <v>3.66</v>
      </c>
      <c r="J123" s="1">
        <v>1.9</v>
      </c>
      <c r="K123" s="6">
        <f>+H123-J123</f>
        <v>1.8200000000000003</v>
      </c>
      <c r="L123" s="7" t="str">
        <f>IF(F123-G123&gt;0,"Win","Loss")</f>
        <v>Win</v>
      </c>
      <c r="M123" s="14">
        <f t="shared" si="2"/>
        <v>136</v>
      </c>
      <c r="N123" s="14">
        <f t="shared" si="3"/>
        <v>50</v>
      </c>
    </row>
    <row r="124" spans="1:14" ht="12.75" x14ac:dyDescent="0.2">
      <c r="A124" s="1" t="s">
        <v>1029</v>
      </c>
      <c r="B124" s="3" t="s">
        <v>1030</v>
      </c>
      <c r="C124" s="4">
        <v>43298</v>
      </c>
      <c r="D124" s="2">
        <v>0.70833333333333337</v>
      </c>
      <c r="E124" s="1" t="s">
        <v>955</v>
      </c>
      <c r="F124" s="5">
        <v>1</v>
      </c>
      <c r="G124" s="5">
        <v>0</v>
      </c>
      <c r="H124" s="1">
        <v>1.1499999999999999</v>
      </c>
      <c r="I124" s="1">
        <v>8.08</v>
      </c>
      <c r="J124" s="1">
        <v>13.47</v>
      </c>
      <c r="K124" s="6">
        <f>+H124-J124</f>
        <v>-12.32</v>
      </c>
      <c r="L124" s="7" t="str">
        <f>IF(F124-G124&gt;0,"Win","Loss")</f>
        <v>Win</v>
      </c>
      <c r="M124" s="14">
        <f t="shared" si="2"/>
        <v>7.4999999999999929</v>
      </c>
      <c r="N124" s="14">
        <f t="shared" si="3"/>
        <v>50</v>
      </c>
    </row>
    <row r="125" spans="1:14" ht="12.75" x14ac:dyDescent="0.2">
      <c r="A125" s="1" t="s">
        <v>1029</v>
      </c>
      <c r="B125" s="3" t="s">
        <v>1030</v>
      </c>
      <c r="C125" s="4">
        <v>43298</v>
      </c>
      <c r="D125" s="2">
        <v>0.70833333333333337</v>
      </c>
      <c r="E125" s="1" t="s">
        <v>956</v>
      </c>
      <c r="F125" s="5">
        <v>3</v>
      </c>
      <c r="G125" s="5">
        <v>1</v>
      </c>
      <c r="H125" s="1">
        <v>1.1399999999999999</v>
      </c>
      <c r="I125" s="1">
        <v>7.93</v>
      </c>
      <c r="J125" s="1">
        <v>17.04</v>
      </c>
      <c r="K125" s="6">
        <f>+H125-J125</f>
        <v>-15.899999999999999</v>
      </c>
      <c r="L125" s="7" t="str">
        <f>IF(F125-G125&gt;0,"Win","Loss")</f>
        <v>Win</v>
      </c>
      <c r="M125" s="14">
        <f t="shared" si="2"/>
        <v>6.9999999999999929</v>
      </c>
      <c r="N125" s="14">
        <f t="shared" si="3"/>
        <v>50</v>
      </c>
    </row>
    <row r="126" spans="1:14" ht="12.75" x14ac:dyDescent="0.2">
      <c r="A126" s="1" t="s">
        <v>1029</v>
      </c>
      <c r="B126" s="3" t="s">
        <v>1030</v>
      </c>
      <c r="C126" s="4">
        <v>43298</v>
      </c>
      <c r="D126" s="2">
        <v>0.70833333333333337</v>
      </c>
      <c r="E126" s="1" t="s">
        <v>957</v>
      </c>
      <c r="F126" s="5">
        <v>2</v>
      </c>
      <c r="G126" s="5">
        <v>0</v>
      </c>
      <c r="H126" s="1">
        <v>1.03</v>
      </c>
      <c r="I126" s="1">
        <v>15.25</v>
      </c>
      <c r="J126" s="1">
        <v>34.81</v>
      </c>
      <c r="K126" s="6">
        <f>+H126-J126</f>
        <v>-33.78</v>
      </c>
      <c r="L126" s="7" t="str">
        <f>IF(F126-G126&gt;0,"Win","Loss")</f>
        <v>Win</v>
      </c>
      <c r="M126" s="14">
        <f t="shared" si="2"/>
        <v>1.5</v>
      </c>
      <c r="N126" s="14">
        <f t="shared" si="3"/>
        <v>50</v>
      </c>
    </row>
    <row r="127" spans="1:14" ht="12.75" x14ac:dyDescent="0.2">
      <c r="A127" s="1" t="s">
        <v>1029</v>
      </c>
      <c r="B127" s="3" t="s">
        <v>1030</v>
      </c>
      <c r="C127" s="4">
        <v>43298</v>
      </c>
      <c r="D127" s="2">
        <v>0.66666666666666663</v>
      </c>
      <c r="E127" s="1" t="s">
        <v>958</v>
      </c>
      <c r="F127" s="5">
        <v>3</v>
      </c>
      <c r="G127" s="5">
        <v>1</v>
      </c>
      <c r="H127" s="1">
        <v>1.18</v>
      </c>
      <c r="I127" s="1">
        <v>7.03</v>
      </c>
      <c r="J127" s="1">
        <v>13.33</v>
      </c>
      <c r="K127" s="6">
        <f>+H127-J127</f>
        <v>-12.15</v>
      </c>
      <c r="L127" s="7" t="str">
        <f>IF(F127-G127&gt;0,"Win","Loss")</f>
        <v>Win</v>
      </c>
      <c r="M127" s="14">
        <f t="shared" si="2"/>
        <v>9</v>
      </c>
      <c r="N127" s="14">
        <f t="shared" si="3"/>
        <v>50</v>
      </c>
    </row>
    <row r="128" spans="1:14" ht="12.75" x14ac:dyDescent="0.2">
      <c r="A128" s="1" t="s">
        <v>1029</v>
      </c>
      <c r="B128" s="3" t="s">
        <v>1030</v>
      </c>
      <c r="C128" s="4">
        <v>43298</v>
      </c>
      <c r="D128" s="2">
        <v>0.66666666666666663</v>
      </c>
      <c r="E128" s="1" t="s">
        <v>959</v>
      </c>
      <c r="F128" s="5">
        <v>1</v>
      </c>
      <c r="G128" s="5">
        <v>1</v>
      </c>
      <c r="H128" s="1">
        <v>2.46</v>
      </c>
      <c r="I128" s="1">
        <v>2.84</v>
      </c>
      <c r="J128" s="1">
        <v>3.29</v>
      </c>
      <c r="K128" s="6">
        <f>+H128-J128</f>
        <v>-0.83000000000000007</v>
      </c>
      <c r="L128" s="7" t="str">
        <f>IF(F128-G128&gt;0,"Win","Loss")</f>
        <v>Loss</v>
      </c>
      <c r="M128" s="14">
        <f t="shared" si="2"/>
        <v>-50</v>
      </c>
      <c r="N128" s="14">
        <f t="shared" si="3"/>
        <v>50</v>
      </c>
    </row>
    <row r="129" spans="1:14" ht="12.75" x14ac:dyDescent="0.2">
      <c r="A129" s="1" t="s">
        <v>1029</v>
      </c>
      <c r="B129" s="3" t="s">
        <v>1030</v>
      </c>
      <c r="C129" s="4">
        <v>43299</v>
      </c>
      <c r="D129" s="2">
        <v>0.78125</v>
      </c>
      <c r="E129" s="1" t="s">
        <v>944</v>
      </c>
      <c r="F129" s="5">
        <v>3</v>
      </c>
      <c r="G129" s="5">
        <v>0</v>
      </c>
      <c r="H129" s="1">
        <v>1.07</v>
      </c>
      <c r="I129" s="1">
        <v>11.52</v>
      </c>
      <c r="J129" s="1">
        <v>26.28</v>
      </c>
      <c r="K129" s="6">
        <f>+H129-J129</f>
        <v>-25.21</v>
      </c>
      <c r="L129" s="7" t="str">
        <f>IF(F129-G129&gt;0,"Win","Loss")</f>
        <v>Win</v>
      </c>
      <c r="M129" s="14">
        <f t="shared" si="2"/>
        <v>3.5</v>
      </c>
      <c r="N129" s="14">
        <f t="shared" si="3"/>
        <v>50</v>
      </c>
    </row>
    <row r="130" spans="1:14" ht="12.75" x14ac:dyDescent="0.2">
      <c r="A130" s="1" t="s">
        <v>1029</v>
      </c>
      <c r="B130" s="3" t="s">
        <v>1030</v>
      </c>
      <c r="C130" s="4">
        <v>43299</v>
      </c>
      <c r="D130" s="2">
        <v>0.75</v>
      </c>
      <c r="E130" s="1" t="s">
        <v>945</v>
      </c>
      <c r="F130" s="5">
        <v>0</v>
      </c>
      <c r="G130" s="5">
        <v>2</v>
      </c>
      <c r="H130" s="1">
        <v>5.12</v>
      </c>
      <c r="I130" s="1">
        <v>3.33</v>
      </c>
      <c r="J130" s="1">
        <v>1.72</v>
      </c>
      <c r="K130" s="6">
        <f>+H130-J130</f>
        <v>3.4000000000000004</v>
      </c>
      <c r="L130" s="7" t="str">
        <f>IF(F130-G130&gt;0,"Win","Loss")</f>
        <v>Loss</v>
      </c>
      <c r="M130" s="14">
        <f t="shared" si="2"/>
        <v>-50</v>
      </c>
      <c r="N130" s="14">
        <f t="shared" si="3"/>
        <v>50</v>
      </c>
    </row>
    <row r="131" spans="1:14" ht="12.75" x14ac:dyDescent="0.2">
      <c r="A131" s="1" t="s">
        <v>1029</v>
      </c>
      <c r="B131" s="3" t="s">
        <v>1030</v>
      </c>
      <c r="C131" s="4">
        <v>43299</v>
      </c>
      <c r="D131" s="2">
        <v>0.73958333333333337</v>
      </c>
      <c r="E131" s="1" t="s">
        <v>946</v>
      </c>
      <c r="F131" s="5">
        <v>3</v>
      </c>
      <c r="G131" s="5">
        <v>1</v>
      </c>
      <c r="H131" s="1">
        <v>1.2</v>
      </c>
      <c r="I131" s="1">
        <v>6.38</v>
      </c>
      <c r="J131" s="1">
        <v>13.27</v>
      </c>
      <c r="K131" s="6">
        <f>+H131-J131</f>
        <v>-12.07</v>
      </c>
      <c r="L131" s="7" t="str">
        <f>IF(F131-G131&gt;0,"Win","Loss")</f>
        <v>Win</v>
      </c>
      <c r="M131" s="14">
        <f t="shared" si="2"/>
        <v>10</v>
      </c>
      <c r="N131" s="14">
        <f t="shared" si="3"/>
        <v>50</v>
      </c>
    </row>
    <row r="132" spans="1:14" ht="12.75" x14ac:dyDescent="0.2">
      <c r="A132" s="1" t="s">
        <v>1029</v>
      </c>
      <c r="B132" s="3" t="s">
        <v>1030</v>
      </c>
      <c r="C132" s="4">
        <v>43299</v>
      </c>
      <c r="D132" s="2">
        <v>0.70833333333333337</v>
      </c>
      <c r="E132" s="1" t="s">
        <v>947</v>
      </c>
      <c r="F132" s="5">
        <v>0</v>
      </c>
      <c r="G132" s="5">
        <v>0</v>
      </c>
      <c r="H132" s="1">
        <v>1.54</v>
      </c>
      <c r="I132" s="1">
        <v>3.7</v>
      </c>
      <c r="J132" s="1">
        <v>6.92</v>
      </c>
      <c r="K132" s="6">
        <f>+H132-J132</f>
        <v>-5.38</v>
      </c>
      <c r="L132" s="7" t="str">
        <f>IF(F132-G132&gt;0,"Win","Loss")</f>
        <v>Loss</v>
      </c>
      <c r="M132" s="14">
        <f t="shared" si="2"/>
        <v>-50</v>
      </c>
      <c r="N132" s="14">
        <f t="shared" si="3"/>
        <v>50</v>
      </c>
    </row>
    <row r="133" spans="1:14" ht="12.75" x14ac:dyDescent="0.2">
      <c r="A133" s="1" t="s">
        <v>1029</v>
      </c>
      <c r="B133" s="3" t="s">
        <v>1030</v>
      </c>
      <c r="C133" s="4">
        <v>43299</v>
      </c>
      <c r="D133" s="2">
        <v>0.70833333333333337</v>
      </c>
      <c r="E133" s="1" t="s">
        <v>948</v>
      </c>
      <c r="F133" s="5">
        <v>3</v>
      </c>
      <c r="G133" s="5">
        <v>0</v>
      </c>
      <c r="H133" s="1">
        <v>1.42</v>
      </c>
      <c r="I133" s="1">
        <v>4.3</v>
      </c>
      <c r="J133" s="1">
        <v>7.55</v>
      </c>
      <c r="K133" s="6">
        <f>+H133-J133</f>
        <v>-6.13</v>
      </c>
      <c r="L133" s="7" t="str">
        <f>IF(F133-G133&gt;0,"Win","Loss")</f>
        <v>Win</v>
      </c>
      <c r="M133" s="14">
        <f t="shared" si="2"/>
        <v>21</v>
      </c>
      <c r="N133" s="14">
        <f t="shared" si="3"/>
        <v>50</v>
      </c>
    </row>
    <row r="134" spans="1:14" ht="12.75" x14ac:dyDescent="0.2">
      <c r="A134" s="1" t="s">
        <v>1029</v>
      </c>
      <c r="B134" s="3" t="s">
        <v>1030</v>
      </c>
      <c r="C134" s="4">
        <v>43299</v>
      </c>
      <c r="D134" s="2">
        <v>0.70833333333333337</v>
      </c>
      <c r="E134" s="1" t="s">
        <v>949</v>
      </c>
      <c r="F134" s="5">
        <v>1</v>
      </c>
      <c r="G134" s="5">
        <v>1</v>
      </c>
      <c r="H134" s="1">
        <v>2.35</v>
      </c>
      <c r="I134" s="1">
        <v>2.99</v>
      </c>
      <c r="J134" s="1">
        <v>3.21</v>
      </c>
      <c r="K134" s="6">
        <f>+H134-J134</f>
        <v>-0.85999999999999988</v>
      </c>
      <c r="L134" s="7" t="str">
        <f>IF(F134-G134&gt;0,"Win","Loss")</f>
        <v>Loss</v>
      </c>
      <c r="M134" s="14">
        <f t="shared" si="2"/>
        <v>-50</v>
      </c>
      <c r="N134" s="14">
        <f t="shared" si="3"/>
        <v>50</v>
      </c>
    </row>
    <row r="135" spans="1:14" ht="12.75" x14ac:dyDescent="0.2">
      <c r="A135" s="1" t="s">
        <v>993</v>
      </c>
      <c r="B135" s="3" t="s">
        <v>994</v>
      </c>
      <c r="C135" s="4">
        <v>43302</v>
      </c>
      <c r="D135" s="2">
        <v>0.70833333333333337</v>
      </c>
      <c r="E135" s="1" t="s">
        <v>25</v>
      </c>
      <c r="F135" s="5">
        <v>4</v>
      </c>
      <c r="G135" s="5">
        <v>1</v>
      </c>
      <c r="H135" s="1">
        <v>1.63</v>
      </c>
      <c r="I135" s="1">
        <v>3.58</v>
      </c>
      <c r="J135" s="1">
        <v>4.66</v>
      </c>
      <c r="K135" s="6">
        <f>+H135-J135</f>
        <v>-3.0300000000000002</v>
      </c>
      <c r="L135" s="7" t="str">
        <f>IF(F135-G135&gt;0,"Win","Loss")</f>
        <v>Win</v>
      </c>
      <c r="M135" s="14">
        <f t="shared" si="2"/>
        <v>31.5</v>
      </c>
      <c r="N135" s="14">
        <f t="shared" si="3"/>
        <v>50</v>
      </c>
    </row>
    <row r="136" spans="1:14" ht="12.75" x14ac:dyDescent="0.2">
      <c r="A136" s="1" t="s">
        <v>993</v>
      </c>
      <c r="B136" s="3" t="s">
        <v>994</v>
      </c>
      <c r="C136" s="4">
        <v>43302</v>
      </c>
      <c r="D136" s="2">
        <v>0.625</v>
      </c>
      <c r="E136" s="1" t="s">
        <v>26</v>
      </c>
      <c r="F136" s="5">
        <v>5</v>
      </c>
      <c r="G136" s="5">
        <v>0</v>
      </c>
      <c r="H136" s="1">
        <v>1.44</v>
      </c>
      <c r="I136" s="1">
        <v>3.85</v>
      </c>
      <c r="J136" s="1">
        <v>6.34</v>
      </c>
      <c r="K136" s="6">
        <f>+H136-J136</f>
        <v>-4.9000000000000004</v>
      </c>
      <c r="L136" s="7" t="str">
        <f>IF(F136-G136&gt;0,"Win","Loss")</f>
        <v>Win</v>
      </c>
      <c r="M136" s="14">
        <f t="shared" si="2"/>
        <v>22</v>
      </c>
      <c r="N136" s="14">
        <f t="shared" si="3"/>
        <v>50</v>
      </c>
    </row>
    <row r="137" spans="1:14" ht="12.75" x14ac:dyDescent="0.2">
      <c r="A137" s="1" t="s">
        <v>1016</v>
      </c>
      <c r="B137" s="3" t="s">
        <v>1017</v>
      </c>
      <c r="C137" s="4">
        <v>43303</v>
      </c>
      <c r="D137" s="2">
        <v>0.91666666666666663</v>
      </c>
      <c r="E137" s="1" t="s">
        <v>621</v>
      </c>
      <c r="F137" s="5">
        <v>1</v>
      </c>
      <c r="G137" s="5">
        <v>1</v>
      </c>
      <c r="H137" s="1">
        <v>1.7</v>
      </c>
      <c r="I137" s="1">
        <v>3.34</v>
      </c>
      <c r="J137" s="1">
        <v>4.6100000000000003</v>
      </c>
      <c r="K137" s="6">
        <f>+H137-J137</f>
        <v>-2.91</v>
      </c>
      <c r="L137" s="7" t="str">
        <f>IF(F137-G137&gt;0,"Win","Loss")</f>
        <v>Loss</v>
      </c>
      <c r="M137" s="14">
        <f t="shared" si="2"/>
        <v>-50</v>
      </c>
      <c r="N137" s="14">
        <f t="shared" si="3"/>
        <v>50</v>
      </c>
    </row>
    <row r="138" spans="1:14" ht="12.75" x14ac:dyDescent="0.2">
      <c r="A138" s="1" t="s">
        <v>1016</v>
      </c>
      <c r="B138" s="3" t="s">
        <v>1017</v>
      </c>
      <c r="C138" s="4">
        <v>43303</v>
      </c>
      <c r="D138" s="2">
        <v>0.91666666666666663</v>
      </c>
      <c r="E138" s="1" t="s">
        <v>622</v>
      </c>
      <c r="F138" s="5">
        <v>0</v>
      </c>
      <c r="G138" s="5">
        <v>2</v>
      </c>
      <c r="H138" s="1">
        <v>1.83</v>
      </c>
      <c r="I138" s="1">
        <v>3.29</v>
      </c>
      <c r="J138" s="1">
        <v>4.2300000000000004</v>
      </c>
      <c r="K138" s="6">
        <f>+H138-J138</f>
        <v>-2.4000000000000004</v>
      </c>
      <c r="L138" s="7" t="str">
        <f>IF(F138-G138&gt;0,"Win","Loss")</f>
        <v>Loss</v>
      </c>
      <c r="M138" s="14">
        <f t="shared" si="2"/>
        <v>-50</v>
      </c>
      <c r="N138" s="14">
        <f t="shared" si="3"/>
        <v>50</v>
      </c>
    </row>
    <row r="139" spans="1:14" ht="12.75" x14ac:dyDescent="0.2">
      <c r="A139" s="1" t="s">
        <v>1016</v>
      </c>
      <c r="B139" s="3" t="s">
        <v>1017</v>
      </c>
      <c r="C139" s="4">
        <v>43303</v>
      </c>
      <c r="D139" s="2">
        <v>0.83333333333333337</v>
      </c>
      <c r="E139" s="1" t="s">
        <v>623</v>
      </c>
      <c r="F139" s="5">
        <v>3</v>
      </c>
      <c r="G139" s="5">
        <v>0</v>
      </c>
      <c r="H139" s="1">
        <v>1.77</v>
      </c>
      <c r="I139" s="1">
        <v>3.37</v>
      </c>
      <c r="J139" s="1">
        <v>4.3499999999999996</v>
      </c>
      <c r="K139" s="6">
        <f>+H139-J139</f>
        <v>-2.5799999999999996</v>
      </c>
      <c r="L139" s="7" t="str">
        <f>IF(F139-G139&gt;0,"Win","Loss")</f>
        <v>Win</v>
      </c>
      <c r="M139" s="14">
        <f t="shared" si="2"/>
        <v>38.5</v>
      </c>
      <c r="N139" s="14">
        <f t="shared" si="3"/>
        <v>50</v>
      </c>
    </row>
    <row r="140" spans="1:14" ht="12.75" x14ac:dyDescent="0.2">
      <c r="A140" s="1" t="s">
        <v>1016</v>
      </c>
      <c r="B140" s="3" t="s">
        <v>1017</v>
      </c>
      <c r="C140" s="4">
        <v>43303</v>
      </c>
      <c r="D140" s="2">
        <v>0.79166666666666663</v>
      </c>
      <c r="E140" s="1" t="s">
        <v>624</v>
      </c>
      <c r="F140" s="5">
        <v>2</v>
      </c>
      <c r="G140" s="5">
        <v>0</v>
      </c>
      <c r="H140" s="1">
        <v>1.57</v>
      </c>
      <c r="I140" s="1">
        <v>3.55</v>
      </c>
      <c r="J140" s="1">
        <v>5.86</v>
      </c>
      <c r="K140" s="6">
        <f>+H140-J140</f>
        <v>-4.29</v>
      </c>
      <c r="L140" s="7" t="str">
        <f>IF(F140-G140&gt;0,"Win","Loss")</f>
        <v>Win</v>
      </c>
      <c r="M140" s="14">
        <f t="shared" si="2"/>
        <v>28.5</v>
      </c>
      <c r="N140" s="14">
        <f t="shared" si="3"/>
        <v>50</v>
      </c>
    </row>
    <row r="141" spans="1:14" ht="12.75" x14ac:dyDescent="0.2">
      <c r="A141" s="1" t="s">
        <v>1016</v>
      </c>
      <c r="B141" s="3" t="s">
        <v>1017</v>
      </c>
      <c r="C141" s="4">
        <v>43303</v>
      </c>
      <c r="D141" s="2">
        <v>0.77083333333333337</v>
      </c>
      <c r="E141" s="1" t="s">
        <v>625</v>
      </c>
      <c r="F141" s="5">
        <v>0</v>
      </c>
      <c r="G141" s="5">
        <v>2</v>
      </c>
      <c r="H141" s="1">
        <v>3.27</v>
      </c>
      <c r="I141" s="1">
        <v>3.1</v>
      </c>
      <c r="J141" s="1">
        <v>2.1800000000000002</v>
      </c>
      <c r="K141" s="6">
        <f>+H141-J141</f>
        <v>1.0899999999999999</v>
      </c>
      <c r="L141" s="7" t="str">
        <f>IF(F141-G141&gt;0,"Win","Loss")</f>
        <v>Loss</v>
      </c>
      <c r="M141" s="14">
        <f t="shared" si="2"/>
        <v>-50</v>
      </c>
      <c r="N141" s="14">
        <f t="shared" si="3"/>
        <v>50</v>
      </c>
    </row>
    <row r="142" spans="1:14" ht="12.75" x14ac:dyDescent="0.2">
      <c r="A142" s="1" t="s">
        <v>1016</v>
      </c>
      <c r="B142" s="3" t="s">
        <v>1017</v>
      </c>
      <c r="C142" s="4">
        <v>43303</v>
      </c>
      <c r="D142" s="2">
        <v>0.77083333333333337</v>
      </c>
      <c r="E142" s="1" t="s">
        <v>579</v>
      </c>
      <c r="F142" s="5">
        <v>1</v>
      </c>
      <c r="G142" s="5">
        <v>1</v>
      </c>
      <c r="H142" s="1">
        <v>1.96</v>
      </c>
      <c r="I142" s="1">
        <v>3.23</v>
      </c>
      <c r="J142" s="1">
        <v>3.61</v>
      </c>
      <c r="K142" s="6">
        <f>+H142-J142</f>
        <v>-1.65</v>
      </c>
      <c r="L142" s="7" t="str">
        <f>IF(F142-G142&gt;0,"Win","Loss")</f>
        <v>Loss</v>
      </c>
      <c r="M142" s="14">
        <f t="shared" ref="M142:M205" si="4">IF(L142="Win",(H142*N142)-N142,-N142)</f>
        <v>-50</v>
      </c>
      <c r="N142" s="14">
        <f t="shared" ref="N142:N205" si="5">+$M$1</f>
        <v>50</v>
      </c>
    </row>
    <row r="143" spans="1:14" ht="12.75" x14ac:dyDescent="0.2">
      <c r="A143" s="1" t="s">
        <v>1029</v>
      </c>
      <c r="B143" s="3" t="s">
        <v>1030</v>
      </c>
      <c r="C143" s="4">
        <v>43305</v>
      </c>
      <c r="D143" s="2">
        <v>0.79166666666666663</v>
      </c>
      <c r="E143" s="1" t="s">
        <v>937</v>
      </c>
      <c r="F143" s="5">
        <v>0</v>
      </c>
      <c r="G143" s="5">
        <v>2</v>
      </c>
      <c r="H143" s="1">
        <v>1.39</v>
      </c>
      <c r="I143" s="1">
        <v>4.3</v>
      </c>
      <c r="J143" s="1">
        <v>8.76</v>
      </c>
      <c r="K143" s="6">
        <f>+H143-J143</f>
        <v>-7.37</v>
      </c>
      <c r="L143" s="7" t="str">
        <f>IF(F143-G143&gt;0,"Win","Loss")</f>
        <v>Loss</v>
      </c>
      <c r="M143" s="14">
        <f t="shared" si="4"/>
        <v>-50</v>
      </c>
      <c r="N143" s="14">
        <f t="shared" si="5"/>
        <v>50</v>
      </c>
    </row>
    <row r="144" spans="1:14" ht="12.75" x14ac:dyDescent="0.2">
      <c r="A144" s="1" t="s">
        <v>1029</v>
      </c>
      <c r="B144" s="3" t="s">
        <v>1030</v>
      </c>
      <c r="C144" s="4">
        <v>43305</v>
      </c>
      <c r="D144" s="2">
        <v>0.77083333333333337</v>
      </c>
      <c r="E144" s="1" t="s">
        <v>938</v>
      </c>
      <c r="F144" s="5">
        <v>3</v>
      </c>
      <c r="G144" s="5">
        <v>0</v>
      </c>
      <c r="H144" s="1">
        <v>1.21</v>
      </c>
      <c r="I144" s="1">
        <v>5.75</v>
      </c>
      <c r="J144" s="1">
        <v>16.07</v>
      </c>
      <c r="K144" s="6">
        <f>+H144-J144</f>
        <v>-14.86</v>
      </c>
      <c r="L144" s="7" t="str">
        <f>IF(F144-G144&gt;0,"Win","Loss")</f>
        <v>Win</v>
      </c>
      <c r="M144" s="14">
        <f t="shared" si="4"/>
        <v>10.5</v>
      </c>
      <c r="N144" s="14">
        <f t="shared" si="5"/>
        <v>50</v>
      </c>
    </row>
    <row r="145" spans="1:14" ht="12.75" x14ac:dyDescent="0.2">
      <c r="A145" s="1" t="s">
        <v>1029</v>
      </c>
      <c r="B145" s="3" t="s">
        <v>1030</v>
      </c>
      <c r="C145" s="4">
        <v>43305</v>
      </c>
      <c r="D145" s="2">
        <v>0.76041666666666663</v>
      </c>
      <c r="E145" s="1" t="s">
        <v>939</v>
      </c>
      <c r="F145" s="5">
        <v>1</v>
      </c>
      <c r="G145" s="5">
        <v>0</v>
      </c>
      <c r="H145" s="1">
        <v>2.35</v>
      </c>
      <c r="I145" s="1">
        <v>3.04</v>
      </c>
      <c r="J145" s="1">
        <v>3.24</v>
      </c>
      <c r="K145" s="6">
        <f>+H145-J145</f>
        <v>-0.89000000000000012</v>
      </c>
      <c r="L145" s="7" t="str">
        <f>IF(F145-G145&gt;0,"Win","Loss")</f>
        <v>Win</v>
      </c>
      <c r="M145" s="14">
        <f t="shared" si="4"/>
        <v>67.5</v>
      </c>
      <c r="N145" s="14">
        <f t="shared" si="5"/>
        <v>50</v>
      </c>
    </row>
    <row r="146" spans="1:14" ht="12.75" x14ac:dyDescent="0.2">
      <c r="A146" s="1" t="s">
        <v>1029</v>
      </c>
      <c r="B146" s="3" t="s">
        <v>1030</v>
      </c>
      <c r="C146" s="4">
        <v>43305</v>
      </c>
      <c r="D146" s="2">
        <v>0.75</v>
      </c>
      <c r="E146" s="1" t="s">
        <v>940</v>
      </c>
      <c r="F146" s="5">
        <v>5</v>
      </c>
      <c r="G146" s="5">
        <v>0</v>
      </c>
      <c r="H146" s="1">
        <v>1.99</v>
      </c>
      <c r="I146" s="1">
        <v>3.24</v>
      </c>
      <c r="J146" s="1">
        <v>3.85</v>
      </c>
      <c r="K146" s="6">
        <f>+H146-J146</f>
        <v>-1.86</v>
      </c>
      <c r="L146" s="7" t="str">
        <f>IF(F146-G146&gt;0,"Win","Loss")</f>
        <v>Win</v>
      </c>
      <c r="M146" s="14">
        <f t="shared" si="4"/>
        <v>49.5</v>
      </c>
      <c r="N146" s="14">
        <f t="shared" si="5"/>
        <v>50</v>
      </c>
    </row>
    <row r="147" spans="1:14" ht="12.75" x14ac:dyDescent="0.2">
      <c r="A147" s="1" t="s">
        <v>1029</v>
      </c>
      <c r="B147" s="3" t="s">
        <v>1030</v>
      </c>
      <c r="C147" s="4">
        <v>43305</v>
      </c>
      <c r="D147" s="2">
        <v>0.72916666666666663</v>
      </c>
      <c r="E147" s="1" t="s">
        <v>941</v>
      </c>
      <c r="F147" s="5">
        <v>2</v>
      </c>
      <c r="G147" s="5">
        <v>1</v>
      </c>
      <c r="H147" s="1">
        <v>1.86</v>
      </c>
      <c r="I147" s="1">
        <v>3.47</v>
      </c>
      <c r="J147" s="1">
        <v>4.22</v>
      </c>
      <c r="K147" s="6">
        <f>+H147-J147</f>
        <v>-2.3599999999999994</v>
      </c>
      <c r="L147" s="7" t="str">
        <f>IF(F147-G147&gt;0,"Win","Loss")</f>
        <v>Win</v>
      </c>
      <c r="M147" s="14">
        <f t="shared" si="4"/>
        <v>43</v>
      </c>
      <c r="N147" s="14">
        <f t="shared" si="5"/>
        <v>50</v>
      </c>
    </row>
    <row r="148" spans="1:14" ht="12.75" x14ac:dyDescent="0.2">
      <c r="A148" s="1" t="s">
        <v>1029</v>
      </c>
      <c r="B148" s="3" t="s">
        <v>1030</v>
      </c>
      <c r="C148" s="4">
        <v>43305</v>
      </c>
      <c r="D148" s="2">
        <v>0.66666666666666663</v>
      </c>
      <c r="E148" s="1" t="s">
        <v>942</v>
      </c>
      <c r="F148" s="5">
        <v>0</v>
      </c>
      <c r="G148" s="5">
        <v>1</v>
      </c>
      <c r="H148" s="1">
        <v>2.14</v>
      </c>
      <c r="I148" s="1">
        <v>3</v>
      </c>
      <c r="J148" s="1">
        <v>3.86</v>
      </c>
      <c r="K148" s="6">
        <f>+H148-J148</f>
        <v>-1.7199999999999998</v>
      </c>
      <c r="L148" s="7" t="str">
        <f>IF(F148-G148&gt;0,"Win","Loss")</f>
        <v>Loss</v>
      </c>
      <c r="M148" s="14">
        <f t="shared" si="4"/>
        <v>-50</v>
      </c>
      <c r="N148" s="14">
        <f t="shared" si="5"/>
        <v>50</v>
      </c>
    </row>
    <row r="149" spans="1:14" ht="12.75" x14ac:dyDescent="0.2">
      <c r="A149" s="1" t="s">
        <v>1029</v>
      </c>
      <c r="B149" s="3" t="s">
        <v>1030</v>
      </c>
      <c r="C149" s="4">
        <v>43305</v>
      </c>
      <c r="D149" s="2">
        <v>0.58333333333333337</v>
      </c>
      <c r="E149" s="1" t="s">
        <v>943</v>
      </c>
      <c r="F149" s="5">
        <v>2</v>
      </c>
      <c r="G149" s="5">
        <v>1</v>
      </c>
      <c r="H149" s="1">
        <v>1.96</v>
      </c>
      <c r="I149" s="1">
        <v>3.24</v>
      </c>
      <c r="J149" s="1">
        <v>4.1399999999999997</v>
      </c>
      <c r="K149" s="6">
        <f>+H149-J149</f>
        <v>-2.1799999999999997</v>
      </c>
      <c r="L149" s="7" t="str">
        <f>IF(F149-G149&gt;0,"Win","Loss")</f>
        <v>Win</v>
      </c>
      <c r="M149" s="14">
        <f t="shared" si="4"/>
        <v>48</v>
      </c>
      <c r="N149" s="14">
        <f t="shared" si="5"/>
        <v>50</v>
      </c>
    </row>
    <row r="150" spans="1:14" ht="12.75" x14ac:dyDescent="0.2">
      <c r="A150" s="1" t="s">
        <v>1029</v>
      </c>
      <c r="B150" s="3" t="s">
        <v>1030</v>
      </c>
      <c r="C150" s="4">
        <v>43306</v>
      </c>
      <c r="D150" s="2">
        <v>0.78125</v>
      </c>
      <c r="E150" s="1" t="s">
        <v>932</v>
      </c>
      <c r="F150" s="5">
        <v>3</v>
      </c>
      <c r="G150" s="5">
        <v>1</v>
      </c>
      <c r="H150" s="1">
        <v>1.56</v>
      </c>
      <c r="I150" s="1">
        <v>3.77</v>
      </c>
      <c r="J150" s="1">
        <v>6.73</v>
      </c>
      <c r="K150" s="6">
        <f>+H150-J150</f>
        <v>-5.17</v>
      </c>
      <c r="L150" s="7" t="str">
        <f>IF(F150-G150&gt;0,"Win","Loss")</f>
        <v>Win</v>
      </c>
      <c r="M150" s="14">
        <f t="shared" si="4"/>
        <v>28</v>
      </c>
      <c r="N150" s="14">
        <f t="shared" si="5"/>
        <v>50</v>
      </c>
    </row>
    <row r="151" spans="1:14" ht="12.75" x14ac:dyDescent="0.2">
      <c r="A151" s="1" t="s">
        <v>1029</v>
      </c>
      <c r="B151" s="3" t="s">
        <v>1030</v>
      </c>
      <c r="C151" s="4">
        <v>43306</v>
      </c>
      <c r="D151" s="2">
        <v>0.77083333333333337</v>
      </c>
      <c r="E151" s="1" t="s">
        <v>933</v>
      </c>
      <c r="F151" s="5">
        <v>2</v>
      </c>
      <c r="G151" s="5">
        <v>0</v>
      </c>
      <c r="H151" s="1">
        <v>1.3</v>
      </c>
      <c r="I151" s="1">
        <v>5.24</v>
      </c>
      <c r="J151" s="1">
        <v>9.85</v>
      </c>
      <c r="K151" s="6">
        <f>+H151-J151</f>
        <v>-8.5499999999999989</v>
      </c>
      <c r="L151" s="7" t="str">
        <f>IF(F151-G151&gt;0,"Win","Loss")</f>
        <v>Win</v>
      </c>
      <c r="M151" s="14">
        <f t="shared" si="4"/>
        <v>15</v>
      </c>
      <c r="N151" s="14">
        <f t="shared" si="5"/>
        <v>50</v>
      </c>
    </row>
    <row r="152" spans="1:14" ht="12.75" x14ac:dyDescent="0.2">
      <c r="A152" s="1" t="s">
        <v>1029</v>
      </c>
      <c r="B152" s="3" t="s">
        <v>1030</v>
      </c>
      <c r="C152" s="4">
        <v>43306</v>
      </c>
      <c r="D152" s="2">
        <v>0.70833333333333337</v>
      </c>
      <c r="E152" s="1" t="s">
        <v>934</v>
      </c>
      <c r="F152" s="5">
        <v>0</v>
      </c>
      <c r="G152" s="5">
        <v>0</v>
      </c>
      <c r="H152" s="1">
        <v>1.67</v>
      </c>
      <c r="I152" s="1">
        <v>3.6</v>
      </c>
      <c r="J152" s="1">
        <v>5.43</v>
      </c>
      <c r="K152" s="6">
        <f>+H152-J152</f>
        <v>-3.76</v>
      </c>
      <c r="L152" s="7" t="str">
        <f>IF(F152-G152&gt;0,"Win","Loss")</f>
        <v>Loss</v>
      </c>
      <c r="M152" s="14">
        <f t="shared" si="4"/>
        <v>-50</v>
      </c>
      <c r="N152" s="14">
        <f t="shared" si="5"/>
        <v>50</v>
      </c>
    </row>
    <row r="153" spans="1:14" ht="12.75" x14ac:dyDescent="0.2">
      <c r="A153" s="1" t="s">
        <v>1029</v>
      </c>
      <c r="B153" s="3" t="s">
        <v>1030</v>
      </c>
      <c r="C153" s="4">
        <v>43306</v>
      </c>
      <c r="D153" s="2">
        <v>0.70833333333333337</v>
      </c>
      <c r="E153" s="1" t="s">
        <v>935</v>
      </c>
      <c r="F153" s="5">
        <v>0</v>
      </c>
      <c r="G153" s="5">
        <v>0</v>
      </c>
      <c r="H153" s="1">
        <v>5.42</v>
      </c>
      <c r="I153" s="1">
        <v>3.15</v>
      </c>
      <c r="J153" s="1">
        <v>1.77</v>
      </c>
      <c r="K153" s="6">
        <f>+H153-J153</f>
        <v>3.65</v>
      </c>
      <c r="L153" s="7" t="str">
        <f>IF(F153-G153&gt;0,"Win","Loss")</f>
        <v>Loss</v>
      </c>
      <c r="M153" s="14">
        <f t="shared" si="4"/>
        <v>-50</v>
      </c>
      <c r="N153" s="14">
        <f t="shared" si="5"/>
        <v>50</v>
      </c>
    </row>
    <row r="154" spans="1:14" ht="12.75" x14ac:dyDescent="0.2">
      <c r="A154" s="1" t="s">
        <v>1029</v>
      </c>
      <c r="B154" s="3" t="s">
        <v>1030</v>
      </c>
      <c r="C154" s="4">
        <v>43306</v>
      </c>
      <c r="D154" s="2">
        <v>0.70833333333333337</v>
      </c>
      <c r="E154" s="1" t="s">
        <v>936</v>
      </c>
      <c r="F154" s="5">
        <v>0</v>
      </c>
      <c r="G154" s="5">
        <v>0</v>
      </c>
      <c r="H154" s="1">
        <v>1.25</v>
      </c>
      <c r="I154" s="1">
        <v>5.47</v>
      </c>
      <c r="J154" s="1">
        <v>12.72</v>
      </c>
      <c r="K154" s="6">
        <f>+H154-J154</f>
        <v>-11.47</v>
      </c>
      <c r="L154" s="7" t="str">
        <f>IF(F154-G154&gt;0,"Win","Loss")</f>
        <v>Loss</v>
      </c>
      <c r="M154" s="14">
        <f t="shared" si="4"/>
        <v>-50</v>
      </c>
      <c r="N154" s="14">
        <f t="shared" si="5"/>
        <v>50</v>
      </c>
    </row>
    <row r="155" spans="1:14" ht="12.75" x14ac:dyDescent="0.2">
      <c r="A155" s="1" t="s">
        <v>1016</v>
      </c>
      <c r="B155" s="3" t="s">
        <v>1017</v>
      </c>
      <c r="C155" s="4">
        <v>43309</v>
      </c>
      <c r="D155" s="2">
        <v>0.875</v>
      </c>
      <c r="E155" s="1" t="s">
        <v>614</v>
      </c>
      <c r="F155" s="5">
        <v>3</v>
      </c>
      <c r="G155" s="5">
        <v>1</v>
      </c>
      <c r="H155" s="1">
        <v>2.09</v>
      </c>
      <c r="I155" s="1">
        <v>3.26</v>
      </c>
      <c r="J155" s="1">
        <v>3.21</v>
      </c>
      <c r="K155" s="6">
        <f>+H155-J155</f>
        <v>-1.1200000000000001</v>
      </c>
      <c r="L155" s="7" t="str">
        <f>IF(F155-G155&gt;0,"Win","Loss")</f>
        <v>Win</v>
      </c>
      <c r="M155" s="14">
        <f t="shared" si="4"/>
        <v>54.5</v>
      </c>
      <c r="N155" s="14">
        <f t="shared" si="5"/>
        <v>50</v>
      </c>
    </row>
    <row r="156" spans="1:14" ht="12.75" x14ac:dyDescent="0.2">
      <c r="A156" s="1" t="s">
        <v>1016</v>
      </c>
      <c r="B156" s="3" t="s">
        <v>1017</v>
      </c>
      <c r="C156" s="4">
        <v>43309</v>
      </c>
      <c r="D156" s="2">
        <v>0.875</v>
      </c>
      <c r="E156" s="1" t="s">
        <v>615</v>
      </c>
      <c r="F156" s="5">
        <v>0</v>
      </c>
      <c r="G156" s="5">
        <v>2</v>
      </c>
      <c r="H156" s="1">
        <v>2</v>
      </c>
      <c r="I156" s="1">
        <v>2.97</v>
      </c>
      <c r="J156" s="1">
        <v>4.01</v>
      </c>
      <c r="K156" s="6">
        <f>+H156-J156</f>
        <v>-2.0099999999999998</v>
      </c>
      <c r="L156" s="7" t="str">
        <f>IF(F156-G156&gt;0,"Win","Loss")</f>
        <v>Loss</v>
      </c>
      <c r="M156" s="14">
        <f t="shared" si="4"/>
        <v>-50</v>
      </c>
      <c r="N156" s="14">
        <f t="shared" si="5"/>
        <v>50</v>
      </c>
    </row>
    <row r="157" spans="1:14" ht="12.75" x14ac:dyDescent="0.2">
      <c r="A157" s="1" t="s">
        <v>1016</v>
      </c>
      <c r="B157" s="3" t="s">
        <v>1017</v>
      </c>
      <c r="C157" s="4">
        <v>43309</v>
      </c>
      <c r="D157" s="2">
        <v>0.79166666666666663</v>
      </c>
      <c r="E157" s="1" t="s">
        <v>616</v>
      </c>
      <c r="F157" s="5">
        <v>2</v>
      </c>
      <c r="G157" s="5">
        <v>2</v>
      </c>
      <c r="H157" s="1">
        <v>1.94</v>
      </c>
      <c r="I157" s="1">
        <v>3.13</v>
      </c>
      <c r="J157" s="1">
        <v>3.93</v>
      </c>
      <c r="K157" s="6">
        <f>+H157-J157</f>
        <v>-1.9900000000000002</v>
      </c>
      <c r="L157" s="7" t="str">
        <f>IF(F157-G157&gt;0,"Win","Loss")</f>
        <v>Loss</v>
      </c>
      <c r="M157" s="14">
        <f t="shared" si="4"/>
        <v>-50</v>
      </c>
      <c r="N157" s="14">
        <f t="shared" si="5"/>
        <v>50</v>
      </c>
    </row>
    <row r="158" spans="1:14" ht="12.75" x14ac:dyDescent="0.2">
      <c r="A158" s="1" t="s">
        <v>1016</v>
      </c>
      <c r="B158" s="3" t="s">
        <v>1017</v>
      </c>
      <c r="C158" s="4">
        <v>43309</v>
      </c>
      <c r="D158" s="2">
        <v>0.79166666666666663</v>
      </c>
      <c r="E158" s="1" t="s">
        <v>617</v>
      </c>
      <c r="F158" s="5">
        <v>0</v>
      </c>
      <c r="G158" s="5">
        <v>0</v>
      </c>
      <c r="H158" s="1">
        <v>2.04</v>
      </c>
      <c r="I158" s="1">
        <v>3.16</v>
      </c>
      <c r="J158" s="1">
        <v>3.49</v>
      </c>
      <c r="K158" s="6">
        <f>+H158-J158</f>
        <v>-1.4500000000000002</v>
      </c>
      <c r="L158" s="7" t="str">
        <f>IF(F158-G158&gt;0,"Win","Loss")</f>
        <v>Loss</v>
      </c>
      <c r="M158" s="14">
        <f t="shared" si="4"/>
        <v>-50</v>
      </c>
      <c r="N158" s="14">
        <f t="shared" si="5"/>
        <v>50</v>
      </c>
    </row>
    <row r="159" spans="1:14" ht="12.75" x14ac:dyDescent="0.2">
      <c r="A159" s="1" t="s">
        <v>1016</v>
      </c>
      <c r="B159" s="3" t="s">
        <v>1017</v>
      </c>
      <c r="C159" s="4">
        <v>43309</v>
      </c>
      <c r="D159" s="2">
        <v>0.79166666666666663</v>
      </c>
      <c r="E159" s="1" t="s">
        <v>618</v>
      </c>
      <c r="F159" s="5">
        <v>2</v>
      </c>
      <c r="G159" s="5">
        <v>0</v>
      </c>
      <c r="H159" s="1">
        <v>1.68</v>
      </c>
      <c r="I159" s="1">
        <v>3.44</v>
      </c>
      <c r="J159" s="1">
        <v>4.87</v>
      </c>
      <c r="K159" s="6">
        <f>+H159-J159</f>
        <v>-3.1900000000000004</v>
      </c>
      <c r="L159" s="7" t="str">
        <f>IF(F159-G159&gt;0,"Win","Loss")</f>
        <v>Win</v>
      </c>
      <c r="M159" s="14">
        <f t="shared" si="4"/>
        <v>34</v>
      </c>
      <c r="N159" s="14">
        <f t="shared" si="5"/>
        <v>50</v>
      </c>
    </row>
    <row r="160" spans="1:14" ht="12.75" x14ac:dyDescent="0.2">
      <c r="A160" s="1" t="s">
        <v>1016</v>
      </c>
      <c r="B160" s="3" t="s">
        <v>1017</v>
      </c>
      <c r="C160" s="4">
        <v>43309</v>
      </c>
      <c r="D160" s="2">
        <v>0.77083333333333337</v>
      </c>
      <c r="E160" s="1" t="s">
        <v>619</v>
      </c>
      <c r="F160" s="5">
        <v>4</v>
      </c>
      <c r="G160" s="5">
        <v>0</v>
      </c>
      <c r="H160" s="1">
        <v>1.71</v>
      </c>
      <c r="I160" s="1">
        <v>3.43</v>
      </c>
      <c r="J160" s="1">
        <v>4.6399999999999997</v>
      </c>
      <c r="K160" s="6">
        <f>+H160-J160</f>
        <v>-2.9299999999999997</v>
      </c>
      <c r="L160" s="7" t="str">
        <f>IF(F160-G160&gt;0,"Win","Loss")</f>
        <v>Win</v>
      </c>
      <c r="M160" s="14">
        <f t="shared" si="4"/>
        <v>35.5</v>
      </c>
      <c r="N160" s="14">
        <f t="shared" si="5"/>
        <v>50</v>
      </c>
    </row>
    <row r="161" spans="1:14" ht="12.75" x14ac:dyDescent="0.2">
      <c r="A161" s="1" t="s">
        <v>1016</v>
      </c>
      <c r="B161" s="3" t="s">
        <v>1017</v>
      </c>
      <c r="C161" s="4">
        <v>43309</v>
      </c>
      <c r="D161" s="2">
        <v>0.95833333333333337</v>
      </c>
      <c r="E161" s="1" t="s">
        <v>620</v>
      </c>
      <c r="F161" s="5">
        <v>1</v>
      </c>
      <c r="G161" s="5">
        <v>1</v>
      </c>
      <c r="H161" s="1">
        <v>2.4900000000000002</v>
      </c>
      <c r="I161" s="1">
        <v>2.96</v>
      </c>
      <c r="J161" s="1">
        <v>2.85</v>
      </c>
      <c r="K161" s="6">
        <f>+H161-J161</f>
        <v>-0.35999999999999988</v>
      </c>
      <c r="L161" s="7" t="str">
        <f>IF(F161-G161&gt;0,"Win","Loss")</f>
        <v>Loss</v>
      </c>
      <c r="M161" s="14">
        <f t="shared" si="4"/>
        <v>-50</v>
      </c>
      <c r="N161" s="14">
        <f t="shared" si="5"/>
        <v>50</v>
      </c>
    </row>
    <row r="162" spans="1:14" ht="12.75" x14ac:dyDescent="0.2">
      <c r="A162" s="1" t="s">
        <v>1016</v>
      </c>
      <c r="B162" s="3" t="s">
        <v>1017</v>
      </c>
      <c r="C162" s="4">
        <v>43310</v>
      </c>
      <c r="D162" s="2">
        <v>0.91666666666666663</v>
      </c>
      <c r="E162" s="1" t="s">
        <v>611</v>
      </c>
      <c r="F162" s="5">
        <v>1</v>
      </c>
      <c r="G162" s="5">
        <v>0</v>
      </c>
      <c r="H162" s="1">
        <v>2.29</v>
      </c>
      <c r="I162" s="1">
        <v>2.95</v>
      </c>
      <c r="J162" s="1">
        <v>3.16</v>
      </c>
      <c r="K162" s="6">
        <f>+H162-J162</f>
        <v>-0.87000000000000011</v>
      </c>
      <c r="L162" s="7" t="str">
        <f>IF(F162-G162&gt;0,"Win","Loss")</f>
        <v>Win</v>
      </c>
      <c r="M162" s="14">
        <f t="shared" si="4"/>
        <v>64.5</v>
      </c>
      <c r="N162" s="14">
        <f t="shared" si="5"/>
        <v>50</v>
      </c>
    </row>
    <row r="163" spans="1:14" ht="12.75" x14ac:dyDescent="0.2">
      <c r="A163" s="1" t="s">
        <v>1016</v>
      </c>
      <c r="B163" s="3" t="s">
        <v>1017</v>
      </c>
      <c r="C163" s="4">
        <v>43310</v>
      </c>
      <c r="D163" s="2">
        <v>0.79166666666666663</v>
      </c>
      <c r="E163" s="1" t="s">
        <v>612</v>
      </c>
      <c r="F163" s="5">
        <v>1</v>
      </c>
      <c r="G163" s="5">
        <v>0</v>
      </c>
      <c r="H163" s="1">
        <v>1.9</v>
      </c>
      <c r="I163" s="1">
        <v>3.33</v>
      </c>
      <c r="J163" s="1">
        <v>3.78</v>
      </c>
      <c r="K163" s="6">
        <f>+H163-J163</f>
        <v>-1.88</v>
      </c>
      <c r="L163" s="7" t="str">
        <f>IF(F163-G163&gt;0,"Win","Loss")</f>
        <v>Win</v>
      </c>
      <c r="M163" s="14">
        <f t="shared" si="4"/>
        <v>45</v>
      </c>
      <c r="N163" s="14">
        <f t="shared" si="5"/>
        <v>50</v>
      </c>
    </row>
    <row r="164" spans="1:14" ht="12.75" x14ac:dyDescent="0.2">
      <c r="A164" s="1" t="s">
        <v>1016</v>
      </c>
      <c r="B164" s="3" t="s">
        <v>1017</v>
      </c>
      <c r="C164" s="4">
        <v>43310</v>
      </c>
      <c r="D164" s="2">
        <v>0.77083333333333337</v>
      </c>
      <c r="E164" s="1" t="s">
        <v>613</v>
      </c>
      <c r="F164" s="5">
        <v>3</v>
      </c>
      <c r="G164" s="5">
        <v>0</v>
      </c>
      <c r="H164" s="1">
        <v>2.15</v>
      </c>
      <c r="I164" s="1">
        <v>3.13</v>
      </c>
      <c r="J164" s="1">
        <v>3.23</v>
      </c>
      <c r="K164" s="6">
        <f>+H164-J164</f>
        <v>-1.08</v>
      </c>
      <c r="L164" s="7" t="str">
        <f>IF(F164-G164&gt;0,"Win","Loss")</f>
        <v>Win</v>
      </c>
      <c r="M164" s="14">
        <f t="shared" si="4"/>
        <v>57.5</v>
      </c>
      <c r="N164" s="14">
        <f t="shared" si="5"/>
        <v>50</v>
      </c>
    </row>
    <row r="165" spans="1:14" ht="12.75" x14ac:dyDescent="0.2">
      <c r="A165" s="1" t="s">
        <v>1029</v>
      </c>
      <c r="B165" s="3" t="s">
        <v>1030</v>
      </c>
      <c r="C165" s="4">
        <v>43312</v>
      </c>
      <c r="D165" s="2">
        <v>0.77083333333333337</v>
      </c>
      <c r="E165" s="1" t="s">
        <v>929</v>
      </c>
      <c r="F165" s="5">
        <v>0</v>
      </c>
      <c r="G165" s="5">
        <v>1</v>
      </c>
      <c r="H165" s="1">
        <v>3.49</v>
      </c>
      <c r="I165" s="1">
        <v>3.35</v>
      </c>
      <c r="J165" s="1">
        <v>2.12</v>
      </c>
      <c r="K165" s="6">
        <f>+H165-J165</f>
        <v>1.37</v>
      </c>
      <c r="L165" s="7" t="str">
        <f>IF(F165-G165&gt;0,"Win","Loss")</f>
        <v>Loss</v>
      </c>
      <c r="M165" s="14">
        <f t="shared" si="4"/>
        <v>-50</v>
      </c>
      <c r="N165" s="14">
        <f t="shared" si="5"/>
        <v>50</v>
      </c>
    </row>
    <row r="166" spans="1:14" ht="12.75" x14ac:dyDescent="0.2">
      <c r="A166" s="1" t="s">
        <v>1029</v>
      </c>
      <c r="B166" s="3" t="s">
        <v>1030</v>
      </c>
      <c r="C166" s="4">
        <v>43312</v>
      </c>
      <c r="D166" s="2">
        <v>0.70833333333333337</v>
      </c>
      <c r="E166" s="1" t="s">
        <v>930</v>
      </c>
      <c r="F166" s="5">
        <v>2</v>
      </c>
      <c r="G166" s="5">
        <v>2</v>
      </c>
      <c r="H166" s="1">
        <v>2.09</v>
      </c>
      <c r="I166" s="1">
        <v>3.63</v>
      </c>
      <c r="J166" s="1">
        <v>3.26</v>
      </c>
      <c r="K166" s="6">
        <f>+H166-J166</f>
        <v>-1.17</v>
      </c>
      <c r="L166" s="7" t="str">
        <f>IF(F166-G166&gt;0,"Win","Loss")</f>
        <v>Loss</v>
      </c>
      <c r="M166" s="14">
        <f t="shared" si="4"/>
        <v>-50</v>
      </c>
      <c r="N166" s="14">
        <f t="shared" si="5"/>
        <v>50</v>
      </c>
    </row>
    <row r="167" spans="1:14" ht="12.75" x14ac:dyDescent="0.2">
      <c r="A167" s="1" t="s">
        <v>1029</v>
      </c>
      <c r="B167" s="3" t="s">
        <v>1030</v>
      </c>
      <c r="C167" s="4">
        <v>43312</v>
      </c>
      <c r="D167" s="2">
        <v>0.70833333333333337</v>
      </c>
      <c r="E167" s="1" t="s">
        <v>931</v>
      </c>
      <c r="F167" s="5">
        <v>0</v>
      </c>
      <c r="G167" s="5">
        <v>0</v>
      </c>
      <c r="H167" s="1">
        <v>1.38</v>
      </c>
      <c r="I167" s="1">
        <v>4.42</v>
      </c>
      <c r="J167" s="1">
        <v>8.9</v>
      </c>
      <c r="K167" s="6">
        <f>+H167-J167</f>
        <v>-7.5200000000000005</v>
      </c>
      <c r="L167" s="7" t="str">
        <f>IF(F167-G167&gt;0,"Win","Loss")</f>
        <v>Loss</v>
      </c>
      <c r="M167" s="14">
        <f t="shared" si="4"/>
        <v>-50</v>
      </c>
      <c r="N167" s="14">
        <f t="shared" si="5"/>
        <v>50</v>
      </c>
    </row>
    <row r="168" spans="1:14" ht="12.75" x14ac:dyDescent="0.2">
      <c r="A168" s="1" t="s">
        <v>1029</v>
      </c>
      <c r="B168" s="3" t="s">
        <v>1030</v>
      </c>
      <c r="C168" s="4">
        <v>43313</v>
      </c>
      <c r="D168" s="2">
        <v>0.70833333333333337</v>
      </c>
      <c r="E168" s="1" t="s">
        <v>926</v>
      </c>
      <c r="F168" s="5">
        <v>0</v>
      </c>
      <c r="G168" s="5">
        <v>0</v>
      </c>
      <c r="H168" s="1">
        <v>1.89</v>
      </c>
      <c r="I168" s="1">
        <v>3.45</v>
      </c>
      <c r="J168" s="1">
        <v>4.12</v>
      </c>
      <c r="K168" s="6">
        <f>+H168-J168</f>
        <v>-2.2300000000000004</v>
      </c>
      <c r="L168" s="7" t="str">
        <f>IF(F168-G168&gt;0,"Win","Loss")</f>
        <v>Loss</v>
      </c>
      <c r="M168" s="14">
        <f t="shared" si="4"/>
        <v>-50</v>
      </c>
      <c r="N168" s="14">
        <f t="shared" si="5"/>
        <v>50</v>
      </c>
    </row>
    <row r="169" spans="1:14" ht="12.75" x14ac:dyDescent="0.2">
      <c r="A169" s="1" t="s">
        <v>1029</v>
      </c>
      <c r="B169" s="3" t="s">
        <v>1030</v>
      </c>
      <c r="C169" s="4">
        <v>43313</v>
      </c>
      <c r="D169" s="2">
        <v>0.70833333333333337</v>
      </c>
      <c r="E169" s="1" t="s">
        <v>927</v>
      </c>
      <c r="F169" s="5">
        <v>3</v>
      </c>
      <c r="G169" s="5">
        <v>0</v>
      </c>
      <c r="H169" s="1">
        <v>1.28</v>
      </c>
      <c r="I169" s="1">
        <v>4.96</v>
      </c>
      <c r="J169" s="1">
        <v>13.26</v>
      </c>
      <c r="K169" s="6">
        <f>+H169-J169</f>
        <v>-11.98</v>
      </c>
      <c r="L169" s="7" t="str">
        <f>IF(F169-G169&gt;0,"Win","Loss")</f>
        <v>Win</v>
      </c>
      <c r="M169" s="14">
        <f t="shared" si="4"/>
        <v>14</v>
      </c>
      <c r="N169" s="14">
        <f t="shared" si="5"/>
        <v>50</v>
      </c>
    </row>
    <row r="170" spans="1:14" ht="12.75" x14ac:dyDescent="0.2">
      <c r="A170" s="1" t="s">
        <v>1029</v>
      </c>
      <c r="B170" s="3" t="s">
        <v>1030</v>
      </c>
      <c r="C170" s="4">
        <v>43313</v>
      </c>
      <c r="D170" s="2">
        <v>0.66666666666666663</v>
      </c>
      <c r="E170" s="1" t="s">
        <v>928</v>
      </c>
      <c r="F170" s="5">
        <v>1</v>
      </c>
      <c r="G170" s="5">
        <v>2</v>
      </c>
      <c r="H170" s="1">
        <v>2.9</v>
      </c>
      <c r="I170" s="1">
        <v>3.03</v>
      </c>
      <c r="J170" s="1">
        <v>2.6</v>
      </c>
      <c r="K170" s="6">
        <f>+H170-J170</f>
        <v>0.29999999999999982</v>
      </c>
      <c r="L170" s="7" t="str">
        <f>IF(F170-G170&gt;0,"Win","Loss")</f>
        <v>Loss</v>
      </c>
      <c r="M170" s="14">
        <f t="shared" si="4"/>
        <v>-50</v>
      </c>
      <c r="N170" s="14">
        <f t="shared" si="5"/>
        <v>50</v>
      </c>
    </row>
    <row r="171" spans="1:14" ht="12.75" x14ac:dyDescent="0.2">
      <c r="A171" s="1" t="s">
        <v>993</v>
      </c>
      <c r="B171" s="3" t="s">
        <v>994</v>
      </c>
      <c r="C171" s="4">
        <v>43316</v>
      </c>
      <c r="D171" s="2">
        <v>0.625</v>
      </c>
      <c r="E171" s="1" t="s">
        <v>24</v>
      </c>
      <c r="F171" s="5">
        <v>3</v>
      </c>
      <c r="G171" s="5">
        <v>1</v>
      </c>
      <c r="H171" s="1">
        <v>1.3</v>
      </c>
      <c r="I171" s="1">
        <v>4.4800000000000004</v>
      </c>
      <c r="J171" s="1">
        <v>8.84</v>
      </c>
      <c r="K171" s="6">
        <f>+H171-J171</f>
        <v>-7.54</v>
      </c>
      <c r="L171" s="7" t="str">
        <f>IF(F171-G171&gt;0,"Win","Loss")</f>
        <v>Win</v>
      </c>
      <c r="M171" s="14">
        <f t="shared" si="4"/>
        <v>15</v>
      </c>
      <c r="N171" s="14">
        <f t="shared" si="5"/>
        <v>50</v>
      </c>
    </row>
    <row r="172" spans="1:14" ht="12.75" x14ac:dyDescent="0.2">
      <c r="A172" s="1" t="s">
        <v>1016</v>
      </c>
      <c r="B172" s="3" t="s">
        <v>1017</v>
      </c>
      <c r="C172" s="4">
        <v>43316</v>
      </c>
      <c r="D172" s="2">
        <v>0.875</v>
      </c>
      <c r="E172" s="1" t="s">
        <v>607</v>
      </c>
      <c r="F172" s="5">
        <v>2</v>
      </c>
      <c r="G172" s="5">
        <v>1</v>
      </c>
      <c r="H172" s="1">
        <v>1.67</v>
      </c>
      <c r="I172" s="1">
        <v>3.43</v>
      </c>
      <c r="J172" s="1">
        <v>5.0999999999999996</v>
      </c>
      <c r="K172" s="6">
        <f>+H172-J172</f>
        <v>-3.4299999999999997</v>
      </c>
      <c r="L172" s="7" t="str">
        <f>IF(F172-G172&gt;0,"Win","Loss")</f>
        <v>Win</v>
      </c>
      <c r="M172" s="14">
        <f t="shared" si="4"/>
        <v>33.5</v>
      </c>
      <c r="N172" s="14">
        <f t="shared" si="5"/>
        <v>50</v>
      </c>
    </row>
    <row r="173" spans="1:14" ht="12.75" x14ac:dyDescent="0.2">
      <c r="A173" s="1" t="s">
        <v>1016</v>
      </c>
      <c r="B173" s="3" t="s">
        <v>1017</v>
      </c>
      <c r="C173" s="4">
        <v>43316</v>
      </c>
      <c r="D173" s="2">
        <v>0.79166666666666663</v>
      </c>
      <c r="E173" s="1" t="s">
        <v>608</v>
      </c>
      <c r="F173" s="5">
        <v>2</v>
      </c>
      <c r="G173" s="5">
        <v>0</v>
      </c>
      <c r="H173" s="1">
        <v>1.47</v>
      </c>
      <c r="I173" s="1">
        <v>3.91</v>
      </c>
      <c r="J173" s="1">
        <v>6.36</v>
      </c>
      <c r="K173" s="6">
        <f>+H173-J173</f>
        <v>-4.8900000000000006</v>
      </c>
      <c r="L173" s="7" t="str">
        <f>IF(F173-G173&gt;0,"Win","Loss")</f>
        <v>Win</v>
      </c>
      <c r="M173" s="14">
        <f t="shared" si="4"/>
        <v>23.5</v>
      </c>
      <c r="N173" s="14">
        <f t="shared" si="5"/>
        <v>50</v>
      </c>
    </row>
    <row r="174" spans="1:14" ht="12.75" x14ac:dyDescent="0.2">
      <c r="A174" s="1" t="s">
        <v>1016</v>
      </c>
      <c r="B174" s="3" t="s">
        <v>1017</v>
      </c>
      <c r="C174" s="4">
        <v>43316</v>
      </c>
      <c r="D174" s="2">
        <v>0.79166666666666663</v>
      </c>
      <c r="E174" s="1" t="s">
        <v>609</v>
      </c>
      <c r="F174" s="5">
        <v>2</v>
      </c>
      <c r="G174" s="5">
        <v>0</v>
      </c>
      <c r="H174" s="1">
        <v>1.86</v>
      </c>
      <c r="I174" s="1">
        <v>3.31</v>
      </c>
      <c r="J174" s="1">
        <v>4.08</v>
      </c>
      <c r="K174" s="6">
        <f>+H174-J174</f>
        <v>-2.2199999999999998</v>
      </c>
      <c r="L174" s="7" t="str">
        <f>IF(F174-G174&gt;0,"Win","Loss")</f>
        <v>Win</v>
      </c>
      <c r="M174" s="14">
        <f t="shared" si="4"/>
        <v>43</v>
      </c>
      <c r="N174" s="14">
        <f t="shared" si="5"/>
        <v>50</v>
      </c>
    </row>
    <row r="175" spans="1:14" ht="12.75" x14ac:dyDescent="0.2">
      <c r="A175" s="1" t="s">
        <v>1016</v>
      </c>
      <c r="B175" s="3" t="s">
        <v>1017</v>
      </c>
      <c r="C175" s="4">
        <v>43316</v>
      </c>
      <c r="D175" s="2">
        <v>0.79166666666666663</v>
      </c>
      <c r="E175" s="1" t="s">
        <v>610</v>
      </c>
      <c r="F175" s="5">
        <v>2</v>
      </c>
      <c r="G175" s="5">
        <v>1</v>
      </c>
      <c r="H175" s="1">
        <v>2.29</v>
      </c>
      <c r="I175" s="1">
        <v>3.09</v>
      </c>
      <c r="J175" s="1">
        <v>3.07</v>
      </c>
      <c r="K175" s="6">
        <f>+H175-J175</f>
        <v>-0.7799999999999998</v>
      </c>
      <c r="L175" s="7" t="str">
        <f>IF(F175-G175&gt;0,"Win","Loss")</f>
        <v>Win</v>
      </c>
      <c r="M175" s="14">
        <f t="shared" si="4"/>
        <v>64.5</v>
      </c>
      <c r="N175" s="14">
        <f t="shared" si="5"/>
        <v>50</v>
      </c>
    </row>
    <row r="176" spans="1:14" ht="12.75" x14ac:dyDescent="0.2">
      <c r="A176" s="1" t="s">
        <v>1016</v>
      </c>
      <c r="B176" s="3" t="s">
        <v>1017</v>
      </c>
      <c r="C176" s="4">
        <v>43317</v>
      </c>
      <c r="D176" s="2">
        <v>0.91666666666666663</v>
      </c>
      <c r="E176" s="1" t="s">
        <v>603</v>
      </c>
      <c r="F176" s="5">
        <v>0</v>
      </c>
      <c r="G176" s="5">
        <v>3</v>
      </c>
      <c r="H176" s="1">
        <v>1.87</v>
      </c>
      <c r="I176" s="1">
        <v>3.36</v>
      </c>
      <c r="J176" s="1">
        <v>3.85</v>
      </c>
      <c r="K176" s="6">
        <f>+H176-J176</f>
        <v>-1.98</v>
      </c>
      <c r="L176" s="7" t="str">
        <f>IF(F176-G176&gt;0,"Win","Loss")</f>
        <v>Loss</v>
      </c>
      <c r="M176" s="14">
        <f t="shared" si="4"/>
        <v>-50</v>
      </c>
      <c r="N176" s="14">
        <f t="shared" si="5"/>
        <v>50</v>
      </c>
    </row>
    <row r="177" spans="1:14" ht="12.75" x14ac:dyDescent="0.2">
      <c r="A177" s="1" t="s">
        <v>1016</v>
      </c>
      <c r="B177" s="3" t="s">
        <v>1017</v>
      </c>
      <c r="C177" s="4">
        <v>43317</v>
      </c>
      <c r="D177" s="2">
        <v>0.91666666666666663</v>
      </c>
      <c r="E177" s="1" t="s">
        <v>604</v>
      </c>
      <c r="F177" s="5">
        <v>0</v>
      </c>
      <c r="G177" s="5">
        <v>0</v>
      </c>
      <c r="H177" s="1">
        <v>2.65</v>
      </c>
      <c r="I177" s="1">
        <v>2.94</v>
      </c>
      <c r="J177" s="1">
        <v>2.64</v>
      </c>
      <c r="K177" s="6">
        <f>+H177-J177</f>
        <v>9.9999999999997868E-3</v>
      </c>
      <c r="L177" s="7" t="str">
        <f>IF(F177-G177&gt;0,"Win","Loss")</f>
        <v>Loss</v>
      </c>
      <c r="M177" s="14">
        <f t="shared" si="4"/>
        <v>-50</v>
      </c>
      <c r="N177" s="14">
        <f t="shared" si="5"/>
        <v>50</v>
      </c>
    </row>
    <row r="178" spans="1:14" ht="12.75" x14ac:dyDescent="0.2">
      <c r="A178" s="1" t="s">
        <v>1016</v>
      </c>
      <c r="B178" s="3" t="s">
        <v>1017</v>
      </c>
      <c r="C178" s="4">
        <v>43317</v>
      </c>
      <c r="D178" s="2">
        <v>0.79166666666666663</v>
      </c>
      <c r="E178" s="1" t="s">
        <v>605</v>
      </c>
      <c r="F178" s="5">
        <v>1</v>
      </c>
      <c r="G178" s="5">
        <v>1</v>
      </c>
      <c r="H178" s="1">
        <v>2.63</v>
      </c>
      <c r="I178" s="1">
        <v>2.67</v>
      </c>
      <c r="J178" s="1">
        <v>3.01</v>
      </c>
      <c r="K178" s="6">
        <f>+H178-J178</f>
        <v>-0.37999999999999989</v>
      </c>
      <c r="L178" s="7" t="str">
        <f>IF(F178-G178&gt;0,"Win","Loss")</f>
        <v>Loss</v>
      </c>
      <c r="M178" s="14">
        <f t="shared" si="4"/>
        <v>-50</v>
      </c>
      <c r="N178" s="14">
        <f t="shared" si="5"/>
        <v>50</v>
      </c>
    </row>
    <row r="179" spans="1:14" ht="12.75" x14ac:dyDescent="0.2">
      <c r="A179" s="1" t="s">
        <v>1016</v>
      </c>
      <c r="B179" s="3" t="s">
        <v>1017</v>
      </c>
      <c r="C179" s="4">
        <v>43317</v>
      </c>
      <c r="D179" s="2">
        <v>0.77083333333333337</v>
      </c>
      <c r="E179" s="1" t="s">
        <v>606</v>
      </c>
      <c r="F179" s="5">
        <v>4</v>
      </c>
      <c r="G179" s="5">
        <v>2</v>
      </c>
      <c r="H179" s="1">
        <v>3.77</v>
      </c>
      <c r="I179" s="1">
        <v>3.2</v>
      </c>
      <c r="J179" s="1">
        <v>1.93</v>
      </c>
      <c r="K179" s="6">
        <f>+H179-J179</f>
        <v>1.84</v>
      </c>
      <c r="L179" s="7" t="str">
        <f>IF(F179-G179&gt;0,"Win","Loss")</f>
        <v>Win</v>
      </c>
      <c r="M179" s="14">
        <f t="shared" si="4"/>
        <v>138.5</v>
      </c>
      <c r="N179" s="14">
        <f t="shared" si="5"/>
        <v>50</v>
      </c>
    </row>
    <row r="180" spans="1:14" ht="12.75" x14ac:dyDescent="0.2">
      <c r="A180" s="1" t="s">
        <v>1016</v>
      </c>
      <c r="B180" s="3" t="s">
        <v>1017</v>
      </c>
      <c r="C180" s="4">
        <v>43317</v>
      </c>
      <c r="D180" s="2">
        <v>0.77083333333333337</v>
      </c>
      <c r="E180" s="1" t="s">
        <v>580</v>
      </c>
      <c r="F180" s="5">
        <v>1</v>
      </c>
      <c r="G180" s="5">
        <v>1</v>
      </c>
      <c r="H180" s="1">
        <v>1.77</v>
      </c>
      <c r="I180" s="1">
        <v>3.4</v>
      </c>
      <c r="J180" s="1">
        <v>4.32</v>
      </c>
      <c r="K180" s="6">
        <f>+H180-J180</f>
        <v>-2.5500000000000003</v>
      </c>
      <c r="L180" s="7" t="str">
        <f>IF(F180-G180&gt;0,"Win","Loss")</f>
        <v>Loss</v>
      </c>
      <c r="M180" s="14">
        <f t="shared" si="4"/>
        <v>-50</v>
      </c>
      <c r="N180" s="14">
        <f t="shared" si="5"/>
        <v>50</v>
      </c>
    </row>
    <row r="181" spans="1:14" ht="12.75" x14ac:dyDescent="0.2">
      <c r="A181" s="1" t="s">
        <v>1016</v>
      </c>
      <c r="B181" s="3" t="s">
        <v>1017</v>
      </c>
      <c r="C181" s="4">
        <v>43319</v>
      </c>
      <c r="D181" s="2">
        <v>1.0416666666666666E-2</v>
      </c>
      <c r="E181" s="1" t="s">
        <v>602</v>
      </c>
      <c r="F181" s="5">
        <v>0</v>
      </c>
      <c r="G181" s="5">
        <v>1</v>
      </c>
      <c r="H181" s="1">
        <v>2.2799999999999998</v>
      </c>
      <c r="I181" s="1">
        <v>2.79</v>
      </c>
      <c r="J181" s="1">
        <v>3.44</v>
      </c>
      <c r="K181" s="6">
        <f>+H181-J181</f>
        <v>-1.1600000000000001</v>
      </c>
      <c r="L181" s="7" t="str">
        <f>IF(F181-G181&gt;0,"Win","Loss")</f>
        <v>Loss</v>
      </c>
      <c r="M181" s="14">
        <f t="shared" si="4"/>
        <v>-50</v>
      </c>
      <c r="N181" s="14">
        <f t="shared" si="5"/>
        <v>50</v>
      </c>
    </row>
    <row r="182" spans="1:14" ht="12.75" x14ac:dyDescent="0.2">
      <c r="A182" s="1" t="s">
        <v>1016</v>
      </c>
      <c r="B182" s="3" t="s">
        <v>1017</v>
      </c>
      <c r="C182" s="4">
        <v>43323</v>
      </c>
      <c r="D182" s="2">
        <v>0.9375</v>
      </c>
      <c r="E182" s="1" t="s">
        <v>592</v>
      </c>
      <c r="F182" s="5">
        <v>0</v>
      </c>
      <c r="G182" s="5">
        <v>1</v>
      </c>
      <c r="H182" s="1">
        <v>1.54</v>
      </c>
      <c r="I182" s="1">
        <v>3.77</v>
      </c>
      <c r="J182" s="1">
        <v>5.7</v>
      </c>
      <c r="K182" s="6">
        <f>+H182-J182</f>
        <v>-4.16</v>
      </c>
      <c r="L182" s="7" t="str">
        <f>IF(F182-G182&gt;0,"Win","Loss")</f>
        <v>Loss</v>
      </c>
      <c r="M182" s="14">
        <f t="shared" si="4"/>
        <v>-50</v>
      </c>
      <c r="N182" s="14">
        <f t="shared" si="5"/>
        <v>50</v>
      </c>
    </row>
    <row r="183" spans="1:14" ht="12.75" x14ac:dyDescent="0.2">
      <c r="A183" s="1" t="s">
        <v>1016</v>
      </c>
      <c r="B183" s="3" t="s">
        <v>1017</v>
      </c>
      <c r="C183" s="4">
        <v>43323</v>
      </c>
      <c r="D183" s="2">
        <v>0.9375</v>
      </c>
      <c r="E183" s="1" t="s">
        <v>593</v>
      </c>
      <c r="F183" s="5">
        <v>2</v>
      </c>
      <c r="G183" s="5">
        <v>2</v>
      </c>
      <c r="H183" s="1">
        <v>1.88</v>
      </c>
      <c r="I183" s="1">
        <v>3.24</v>
      </c>
      <c r="J183" s="1">
        <v>3.93</v>
      </c>
      <c r="K183" s="6">
        <f>+H183-J183</f>
        <v>-2.0500000000000003</v>
      </c>
      <c r="L183" s="7" t="str">
        <f>IF(F183-G183&gt;0,"Win","Loss")</f>
        <v>Loss</v>
      </c>
      <c r="M183" s="14">
        <f t="shared" si="4"/>
        <v>-50</v>
      </c>
      <c r="N183" s="14">
        <f t="shared" si="5"/>
        <v>50</v>
      </c>
    </row>
    <row r="184" spans="1:14" ht="12.75" x14ac:dyDescent="0.2">
      <c r="A184" s="1" t="s">
        <v>1016</v>
      </c>
      <c r="B184" s="3" t="s">
        <v>1017</v>
      </c>
      <c r="C184" s="4">
        <v>43323</v>
      </c>
      <c r="D184" s="2">
        <v>0.9375</v>
      </c>
      <c r="E184" s="1" t="s">
        <v>594</v>
      </c>
      <c r="F184" s="5">
        <v>0</v>
      </c>
      <c r="G184" s="5">
        <v>0</v>
      </c>
      <c r="H184" s="1">
        <v>1.88</v>
      </c>
      <c r="I184" s="1">
        <v>3.2</v>
      </c>
      <c r="J184" s="1">
        <v>4.1100000000000003</v>
      </c>
      <c r="K184" s="6">
        <f>+H184-J184</f>
        <v>-2.2300000000000004</v>
      </c>
      <c r="L184" s="7" t="str">
        <f>IF(F184-G184&gt;0,"Win","Loss")</f>
        <v>Loss</v>
      </c>
      <c r="M184" s="14">
        <f t="shared" si="4"/>
        <v>-50</v>
      </c>
      <c r="N184" s="14">
        <f t="shared" si="5"/>
        <v>50</v>
      </c>
    </row>
    <row r="185" spans="1:14" ht="12.75" x14ac:dyDescent="0.2">
      <c r="A185" s="1" t="s">
        <v>1016</v>
      </c>
      <c r="B185" s="3" t="s">
        <v>1017</v>
      </c>
      <c r="C185" s="4">
        <v>43323</v>
      </c>
      <c r="D185" s="2">
        <v>0.9375</v>
      </c>
      <c r="E185" s="1" t="s">
        <v>595</v>
      </c>
      <c r="F185" s="5">
        <v>1</v>
      </c>
      <c r="G185" s="5">
        <v>1</v>
      </c>
      <c r="H185" s="1">
        <v>2.23</v>
      </c>
      <c r="I185" s="1">
        <v>2.69</v>
      </c>
      <c r="J185" s="1">
        <v>3.64</v>
      </c>
      <c r="K185" s="6">
        <f>+H185-J185</f>
        <v>-1.4100000000000001</v>
      </c>
      <c r="L185" s="7" t="str">
        <f>IF(F185-G185&gt;0,"Win","Loss")</f>
        <v>Loss</v>
      </c>
      <c r="M185" s="14">
        <f t="shared" si="4"/>
        <v>-50</v>
      </c>
      <c r="N185" s="14">
        <f t="shared" si="5"/>
        <v>50</v>
      </c>
    </row>
    <row r="186" spans="1:14" ht="12.75" x14ac:dyDescent="0.2">
      <c r="A186" s="1" t="s">
        <v>1016</v>
      </c>
      <c r="B186" s="3" t="s">
        <v>1017</v>
      </c>
      <c r="C186" s="4">
        <v>43323</v>
      </c>
      <c r="D186" s="2">
        <v>0.9375</v>
      </c>
      <c r="E186" s="1" t="s">
        <v>596</v>
      </c>
      <c r="F186" s="5">
        <v>1</v>
      </c>
      <c r="G186" s="5">
        <v>0</v>
      </c>
      <c r="H186" s="1">
        <v>1.26</v>
      </c>
      <c r="I186" s="1">
        <v>4.78</v>
      </c>
      <c r="J186" s="1">
        <v>12.95</v>
      </c>
      <c r="K186" s="6">
        <f>+H186-J186</f>
        <v>-11.69</v>
      </c>
      <c r="L186" s="7" t="str">
        <f>IF(F186-G186&gt;0,"Win","Loss")</f>
        <v>Win</v>
      </c>
      <c r="M186" s="14">
        <f t="shared" si="4"/>
        <v>13</v>
      </c>
      <c r="N186" s="14">
        <f t="shared" si="5"/>
        <v>50</v>
      </c>
    </row>
    <row r="187" spans="1:14" ht="12.75" x14ac:dyDescent="0.2">
      <c r="A187" s="1" t="s">
        <v>1016</v>
      </c>
      <c r="B187" s="3" t="s">
        <v>1017</v>
      </c>
      <c r="C187" s="4">
        <v>43323</v>
      </c>
      <c r="D187" s="2">
        <v>0.83333333333333337</v>
      </c>
      <c r="E187" s="1" t="s">
        <v>597</v>
      </c>
      <c r="F187" s="5">
        <v>2</v>
      </c>
      <c r="G187" s="5">
        <v>1</v>
      </c>
      <c r="H187" s="1">
        <v>2.71</v>
      </c>
      <c r="I187" s="1">
        <v>3.09</v>
      </c>
      <c r="J187" s="1">
        <v>2.5299999999999998</v>
      </c>
      <c r="K187" s="6">
        <f>+H187-J187</f>
        <v>0.18000000000000016</v>
      </c>
      <c r="L187" s="7" t="str">
        <f>IF(F187-G187&gt;0,"Win","Loss")</f>
        <v>Win</v>
      </c>
      <c r="M187" s="14">
        <f t="shared" si="4"/>
        <v>85.5</v>
      </c>
      <c r="N187" s="14">
        <f t="shared" si="5"/>
        <v>50</v>
      </c>
    </row>
    <row r="188" spans="1:14" ht="12.75" x14ac:dyDescent="0.2">
      <c r="A188" s="1" t="s">
        <v>1016</v>
      </c>
      <c r="B188" s="3" t="s">
        <v>1017</v>
      </c>
      <c r="C188" s="4">
        <v>43323</v>
      </c>
      <c r="D188" s="2">
        <v>0.83333333333333337</v>
      </c>
      <c r="E188" s="1" t="s">
        <v>598</v>
      </c>
      <c r="F188" s="5">
        <v>1</v>
      </c>
      <c r="G188" s="5">
        <v>0</v>
      </c>
      <c r="H188" s="1">
        <v>2.61</v>
      </c>
      <c r="I188" s="1">
        <v>3.23</v>
      </c>
      <c r="J188" s="1">
        <v>2.52</v>
      </c>
      <c r="K188" s="6">
        <f>+H188-J188</f>
        <v>8.9999999999999858E-2</v>
      </c>
      <c r="L188" s="7" t="str">
        <f>IF(F188-G188&gt;0,"Win","Loss")</f>
        <v>Win</v>
      </c>
      <c r="M188" s="14">
        <f t="shared" si="4"/>
        <v>80.5</v>
      </c>
      <c r="N188" s="14">
        <f t="shared" si="5"/>
        <v>50</v>
      </c>
    </row>
    <row r="189" spans="1:14" ht="12.75" x14ac:dyDescent="0.2">
      <c r="A189" s="1" t="s">
        <v>1016</v>
      </c>
      <c r="B189" s="3" t="s">
        <v>1017</v>
      </c>
      <c r="C189" s="4">
        <v>43323</v>
      </c>
      <c r="D189" s="2">
        <v>0.83333333333333337</v>
      </c>
      <c r="E189" s="1" t="s">
        <v>599</v>
      </c>
      <c r="F189" s="5">
        <v>0</v>
      </c>
      <c r="G189" s="5">
        <v>0</v>
      </c>
      <c r="H189" s="1">
        <v>2.14</v>
      </c>
      <c r="I189" s="1">
        <v>2.96</v>
      </c>
      <c r="J189" s="1">
        <v>3.44</v>
      </c>
      <c r="K189" s="6">
        <f>+H189-J189</f>
        <v>-1.2999999999999998</v>
      </c>
      <c r="L189" s="7" t="str">
        <f>IF(F189-G189&gt;0,"Win","Loss")</f>
        <v>Loss</v>
      </c>
      <c r="M189" s="14">
        <f t="shared" si="4"/>
        <v>-50</v>
      </c>
      <c r="N189" s="14">
        <f t="shared" si="5"/>
        <v>50</v>
      </c>
    </row>
    <row r="190" spans="1:14" ht="12.75" x14ac:dyDescent="0.2">
      <c r="A190" s="1" t="s">
        <v>1016</v>
      </c>
      <c r="B190" s="3" t="s">
        <v>1017</v>
      </c>
      <c r="C190" s="4">
        <v>43323</v>
      </c>
      <c r="D190" s="2">
        <v>0.83333333333333337</v>
      </c>
      <c r="E190" s="1" t="s">
        <v>600</v>
      </c>
      <c r="F190" s="5">
        <v>0</v>
      </c>
      <c r="G190" s="5">
        <v>0</v>
      </c>
      <c r="H190" s="1">
        <v>1.4</v>
      </c>
      <c r="I190" s="1">
        <v>3.85</v>
      </c>
      <c r="J190" s="1">
        <v>8.59</v>
      </c>
      <c r="K190" s="6">
        <f>+H190-J190</f>
        <v>-7.1899999999999995</v>
      </c>
      <c r="L190" s="7" t="str">
        <f>IF(F190-G190&gt;0,"Win","Loss")</f>
        <v>Loss</v>
      </c>
      <c r="M190" s="14">
        <f t="shared" si="4"/>
        <v>-50</v>
      </c>
      <c r="N190" s="14">
        <f t="shared" si="5"/>
        <v>50</v>
      </c>
    </row>
    <row r="191" spans="1:14" ht="12.75" x14ac:dyDescent="0.2">
      <c r="A191" s="1" t="s">
        <v>1016</v>
      </c>
      <c r="B191" s="3" t="s">
        <v>1017</v>
      </c>
      <c r="C191" s="4">
        <v>43323</v>
      </c>
      <c r="D191" s="2">
        <v>0.83333333333333337</v>
      </c>
      <c r="E191" s="1" t="s">
        <v>601</v>
      </c>
      <c r="F191" s="5">
        <v>5</v>
      </c>
      <c r="G191" s="5">
        <v>1</v>
      </c>
      <c r="H191" s="1">
        <v>2.02</v>
      </c>
      <c r="I191" s="1">
        <v>3.14</v>
      </c>
      <c r="J191" s="1">
        <v>3.7</v>
      </c>
      <c r="K191" s="6">
        <f>+H191-J191</f>
        <v>-1.6800000000000002</v>
      </c>
      <c r="L191" s="7" t="str">
        <f>IF(F191-G191&gt;0,"Win","Loss")</f>
        <v>Win</v>
      </c>
      <c r="M191" s="14">
        <f t="shared" si="4"/>
        <v>51</v>
      </c>
      <c r="N191" s="14">
        <f t="shared" si="5"/>
        <v>50</v>
      </c>
    </row>
    <row r="192" spans="1:14" ht="12.75" x14ac:dyDescent="0.2">
      <c r="A192" s="1" t="s">
        <v>1022</v>
      </c>
      <c r="B192" s="3" t="s">
        <v>1023</v>
      </c>
      <c r="C192" s="4">
        <v>43323</v>
      </c>
      <c r="D192" s="2">
        <v>0.54166666666666663</v>
      </c>
      <c r="E192" s="1" t="s">
        <v>774</v>
      </c>
      <c r="F192" s="5">
        <v>4</v>
      </c>
      <c r="G192" s="5">
        <v>3</v>
      </c>
      <c r="H192" s="1">
        <v>1.69</v>
      </c>
      <c r="I192" s="1">
        <v>3.74</v>
      </c>
      <c r="J192" s="1">
        <v>4.05</v>
      </c>
      <c r="K192" s="6">
        <f>+H192-J192</f>
        <v>-2.36</v>
      </c>
      <c r="L192" s="7" t="str">
        <f>IF(F192-G192&gt;0,"Win","Loss")</f>
        <v>Win</v>
      </c>
      <c r="M192" s="14">
        <f t="shared" si="4"/>
        <v>34.5</v>
      </c>
      <c r="N192" s="14">
        <f t="shared" si="5"/>
        <v>50</v>
      </c>
    </row>
    <row r="193" spans="1:14" ht="12.75" x14ac:dyDescent="0.2">
      <c r="A193" s="1" t="s">
        <v>1022</v>
      </c>
      <c r="B193" s="3" t="s">
        <v>1023</v>
      </c>
      <c r="C193" s="4">
        <v>43323</v>
      </c>
      <c r="D193" s="2">
        <v>0.5</v>
      </c>
      <c r="E193" s="1" t="s">
        <v>775</v>
      </c>
      <c r="F193" s="5">
        <v>1</v>
      </c>
      <c r="G193" s="5">
        <v>2</v>
      </c>
      <c r="H193" s="1">
        <v>1.86</v>
      </c>
      <c r="I193" s="1">
        <v>3.62</v>
      </c>
      <c r="J193" s="1">
        <v>3.57</v>
      </c>
      <c r="K193" s="6">
        <f>+H193-J193</f>
        <v>-1.7099999999999997</v>
      </c>
      <c r="L193" s="7" t="str">
        <f>IF(F193-G193&gt;0,"Win","Loss")</f>
        <v>Loss</v>
      </c>
      <c r="M193" s="14">
        <f t="shared" si="4"/>
        <v>-50</v>
      </c>
      <c r="N193" s="14">
        <f t="shared" si="5"/>
        <v>50</v>
      </c>
    </row>
    <row r="194" spans="1:14" ht="12.75" x14ac:dyDescent="0.2">
      <c r="A194" s="1" t="s">
        <v>993</v>
      </c>
      <c r="B194" s="3" t="s">
        <v>994</v>
      </c>
      <c r="C194" s="4">
        <v>43324</v>
      </c>
      <c r="D194" s="2">
        <v>0.625</v>
      </c>
      <c r="E194" s="1" t="s">
        <v>23</v>
      </c>
      <c r="F194" s="5">
        <v>1</v>
      </c>
      <c r="G194" s="5">
        <v>1</v>
      </c>
      <c r="H194" s="1">
        <v>2.88</v>
      </c>
      <c r="I194" s="1">
        <v>3.38</v>
      </c>
      <c r="J194" s="1">
        <v>2.17</v>
      </c>
      <c r="K194" s="6">
        <f>+H194-J194</f>
        <v>0.71</v>
      </c>
      <c r="L194" s="7" t="str">
        <f>IF(F194-G194&gt;0,"Win","Loss")</f>
        <v>Loss</v>
      </c>
      <c r="M194" s="14">
        <f t="shared" si="4"/>
        <v>-50</v>
      </c>
      <c r="N194" s="14">
        <f t="shared" si="5"/>
        <v>50</v>
      </c>
    </row>
    <row r="195" spans="1:14" ht="12.75" x14ac:dyDescent="0.2">
      <c r="A195" s="1" t="s">
        <v>1022</v>
      </c>
      <c r="B195" s="3" t="s">
        <v>1023</v>
      </c>
      <c r="C195" s="4">
        <v>43324</v>
      </c>
      <c r="D195" s="2">
        <v>0.54166666666666663</v>
      </c>
      <c r="E195" s="1" t="s">
        <v>772</v>
      </c>
      <c r="F195" s="5">
        <v>0</v>
      </c>
      <c r="G195" s="5">
        <v>1</v>
      </c>
      <c r="H195" s="1">
        <v>1.63</v>
      </c>
      <c r="I195" s="1">
        <v>3.65</v>
      </c>
      <c r="J195" s="1">
        <v>4.76</v>
      </c>
      <c r="K195" s="6">
        <f>+H195-J195</f>
        <v>-3.13</v>
      </c>
      <c r="L195" s="7" t="str">
        <f>IF(F195-G195&gt;0,"Win","Loss")</f>
        <v>Loss</v>
      </c>
      <c r="M195" s="14">
        <f t="shared" si="4"/>
        <v>-50</v>
      </c>
      <c r="N195" s="14">
        <f t="shared" si="5"/>
        <v>50</v>
      </c>
    </row>
    <row r="196" spans="1:14" ht="12.75" x14ac:dyDescent="0.2">
      <c r="A196" s="1" t="s">
        <v>1022</v>
      </c>
      <c r="B196" s="3" t="s">
        <v>1023</v>
      </c>
      <c r="C196" s="4">
        <v>43324</v>
      </c>
      <c r="D196" s="2">
        <v>0.54166666666666663</v>
      </c>
      <c r="E196" s="1" t="s">
        <v>773</v>
      </c>
      <c r="F196" s="5">
        <v>0</v>
      </c>
      <c r="G196" s="5">
        <v>1</v>
      </c>
      <c r="H196" s="1">
        <v>1.92</v>
      </c>
      <c r="I196" s="1">
        <v>3.62</v>
      </c>
      <c r="J196" s="1">
        <v>3.37</v>
      </c>
      <c r="K196" s="6">
        <f>+H196-J196</f>
        <v>-1.4500000000000002</v>
      </c>
      <c r="L196" s="7" t="str">
        <f>IF(F196-G196&gt;0,"Win","Loss")</f>
        <v>Loss</v>
      </c>
      <c r="M196" s="14">
        <f t="shared" si="4"/>
        <v>-50</v>
      </c>
      <c r="N196" s="14">
        <f t="shared" si="5"/>
        <v>50</v>
      </c>
    </row>
    <row r="197" spans="1:14" ht="12.75" x14ac:dyDescent="0.2">
      <c r="A197" s="1" t="s">
        <v>1024</v>
      </c>
      <c r="B197" s="3" t="s">
        <v>1025</v>
      </c>
      <c r="C197" s="4">
        <v>43326</v>
      </c>
      <c r="D197" s="2">
        <v>0.79166666666666663</v>
      </c>
      <c r="E197" s="1" t="s">
        <v>825</v>
      </c>
      <c r="F197" s="5">
        <v>1</v>
      </c>
      <c r="G197" s="5">
        <v>2</v>
      </c>
      <c r="H197" s="1">
        <v>4.58</v>
      </c>
      <c r="I197" s="1">
        <v>2.9</v>
      </c>
      <c r="J197" s="1">
        <v>1.94</v>
      </c>
      <c r="K197" s="6">
        <f>+H197-J197</f>
        <v>2.64</v>
      </c>
      <c r="L197" s="7" t="str">
        <f>IF(F197-G197&gt;0,"Win","Loss")</f>
        <v>Loss</v>
      </c>
      <c r="M197" s="14">
        <f t="shared" si="4"/>
        <v>-50</v>
      </c>
      <c r="N197" s="14">
        <f t="shared" si="5"/>
        <v>50</v>
      </c>
    </row>
    <row r="198" spans="1:14" ht="12.75" x14ac:dyDescent="0.2">
      <c r="A198" s="1" t="s">
        <v>1024</v>
      </c>
      <c r="B198" s="3" t="s">
        <v>1025</v>
      </c>
      <c r="C198" s="4">
        <v>43327</v>
      </c>
      <c r="D198" s="2">
        <v>0.75</v>
      </c>
      <c r="E198" s="1" t="s">
        <v>824</v>
      </c>
      <c r="F198" s="5">
        <v>0</v>
      </c>
      <c r="G198" s="5">
        <v>2</v>
      </c>
      <c r="H198" s="1">
        <v>4.74</v>
      </c>
      <c r="I198" s="1">
        <v>3.01</v>
      </c>
      <c r="J198" s="1">
        <v>1.89</v>
      </c>
      <c r="K198" s="6">
        <f>+H198-J198</f>
        <v>2.8500000000000005</v>
      </c>
      <c r="L198" s="7" t="str">
        <f>IF(F198-G198&gt;0,"Win","Loss")</f>
        <v>Loss</v>
      </c>
      <c r="M198" s="14">
        <f t="shared" si="4"/>
        <v>-50</v>
      </c>
      <c r="N198" s="14">
        <f t="shared" si="5"/>
        <v>50</v>
      </c>
    </row>
    <row r="199" spans="1:14" ht="12.75" x14ac:dyDescent="0.2">
      <c r="A199" s="1" t="s">
        <v>1024</v>
      </c>
      <c r="B199" s="3" t="s">
        <v>1025</v>
      </c>
      <c r="C199" s="4">
        <v>43328</v>
      </c>
      <c r="D199" s="2">
        <v>0.79166666666666663</v>
      </c>
      <c r="E199" s="1" t="s">
        <v>823</v>
      </c>
      <c r="F199" s="5">
        <v>0</v>
      </c>
      <c r="G199" s="5">
        <v>1</v>
      </c>
      <c r="H199" s="1">
        <v>2.89</v>
      </c>
      <c r="I199" s="1">
        <v>2.93</v>
      </c>
      <c r="J199" s="1">
        <v>2.5099999999999998</v>
      </c>
      <c r="K199" s="6">
        <f>+H199-J199</f>
        <v>0.38000000000000034</v>
      </c>
      <c r="L199" s="7" t="str">
        <f>IF(F199-G199&gt;0,"Win","Loss")</f>
        <v>Loss</v>
      </c>
      <c r="M199" s="14">
        <f t="shared" si="4"/>
        <v>-50</v>
      </c>
      <c r="N199" s="14">
        <f t="shared" si="5"/>
        <v>50</v>
      </c>
    </row>
    <row r="200" spans="1:14" ht="12.75" x14ac:dyDescent="0.2">
      <c r="A200" s="1" t="s">
        <v>1024</v>
      </c>
      <c r="B200" s="3" t="s">
        <v>1025</v>
      </c>
      <c r="C200" s="4">
        <v>43329</v>
      </c>
      <c r="D200" s="2">
        <v>0.66666666666666663</v>
      </c>
      <c r="E200" s="1" t="s">
        <v>822</v>
      </c>
      <c r="F200" s="5">
        <v>1</v>
      </c>
      <c r="G200" s="5">
        <v>0</v>
      </c>
      <c r="H200" s="1">
        <v>2.93</v>
      </c>
      <c r="I200" s="1">
        <v>2.91</v>
      </c>
      <c r="J200" s="1">
        <v>2.54</v>
      </c>
      <c r="K200" s="6">
        <f>+H200-J200</f>
        <v>0.39000000000000012</v>
      </c>
      <c r="L200" s="7" t="str">
        <f>IF(F200-G200&gt;0,"Win","Loss")</f>
        <v>Win</v>
      </c>
      <c r="M200" s="14">
        <f t="shared" si="4"/>
        <v>96.5</v>
      </c>
      <c r="N200" s="14">
        <f t="shared" si="5"/>
        <v>50</v>
      </c>
    </row>
    <row r="201" spans="1:14" ht="12.75" x14ac:dyDescent="0.2">
      <c r="A201" s="1" t="s">
        <v>1016</v>
      </c>
      <c r="B201" s="3" t="s">
        <v>1017</v>
      </c>
      <c r="C201" s="4">
        <v>43330</v>
      </c>
      <c r="D201" s="2">
        <v>0.79166666666666663</v>
      </c>
      <c r="E201" s="1" t="s">
        <v>591</v>
      </c>
      <c r="F201" s="5">
        <v>3</v>
      </c>
      <c r="G201" s="5">
        <v>1</v>
      </c>
      <c r="H201" s="1">
        <v>2.1800000000000002</v>
      </c>
      <c r="I201" s="1">
        <v>2.9</v>
      </c>
      <c r="J201" s="1">
        <v>3.65</v>
      </c>
      <c r="K201" s="6">
        <f>+H201-J201</f>
        <v>-1.4699999999999998</v>
      </c>
      <c r="L201" s="7" t="str">
        <f>IF(F201-G201&gt;0,"Win","Loss")</f>
        <v>Win</v>
      </c>
      <c r="M201" s="14">
        <f t="shared" si="4"/>
        <v>59.000000000000014</v>
      </c>
      <c r="N201" s="14">
        <f t="shared" si="5"/>
        <v>50</v>
      </c>
    </row>
    <row r="202" spans="1:14" ht="12.75" x14ac:dyDescent="0.2">
      <c r="A202" s="1" t="s">
        <v>1022</v>
      </c>
      <c r="B202" s="3" t="s">
        <v>1023</v>
      </c>
      <c r="C202" s="4">
        <v>43330</v>
      </c>
      <c r="D202" s="2">
        <v>0.5</v>
      </c>
      <c r="E202" s="1" t="s">
        <v>768</v>
      </c>
      <c r="F202" s="5">
        <v>1</v>
      </c>
      <c r="G202" s="5">
        <v>1</v>
      </c>
      <c r="H202" s="1">
        <v>2.29</v>
      </c>
      <c r="I202" s="1">
        <v>3.26</v>
      </c>
      <c r="J202" s="1">
        <v>2.84</v>
      </c>
      <c r="K202" s="6">
        <f>+H202-J202</f>
        <v>-0.54999999999999982</v>
      </c>
      <c r="L202" s="7" t="str">
        <f>IF(F202-G202&gt;0,"Win","Loss")</f>
        <v>Loss</v>
      </c>
      <c r="M202" s="14">
        <f t="shared" si="4"/>
        <v>-50</v>
      </c>
      <c r="N202" s="14">
        <f t="shared" si="5"/>
        <v>50</v>
      </c>
    </row>
    <row r="203" spans="1:14" ht="12.75" x14ac:dyDescent="0.2">
      <c r="A203" s="1" t="s">
        <v>1022</v>
      </c>
      <c r="B203" s="3" t="s">
        <v>1023</v>
      </c>
      <c r="C203" s="4">
        <v>43330</v>
      </c>
      <c r="D203" s="2">
        <v>0.5</v>
      </c>
      <c r="E203" s="1" t="s">
        <v>769</v>
      </c>
      <c r="F203" s="5">
        <v>0</v>
      </c>
      <c r="G203" s="5">
        <v>1</v>
      </c>
      <c r="H203" s="1">
        <v>3.53</v>
      </c>
      <c r="I203" s="1">
        <v>3.9</v>
      </c>
      <c r="J203" s="1">
        <v>1.8</v>
      </c>
      <c r="K203" s="6">
        <f>+H203-J203</f>
        <v>1.7299999999999998</v>
      </c>
      <c r="L203" s="7" t="str">
        <f>IF(F203-G203&gt;0,"Win","Loss")</f>
        <v>Loss</v>
      </c>
      <c r="M203" s="14">
        <f t="shared" si="4"/>
        <v>-50</v>
      </c>
      <c r="N203" s="14">
        <f t="shared" si="5"/>
        <v>50</v>
      </c>
    </row>
    <row r="204" spans="1:14" ht="12.75" x14ac:dyDescent="0.2">
      <c r="A204" s="1" t="s">
        <v>1022</v>
      </c>
      <c r="B204" s="3" t="s">
        <v>1023</v>
      </c>
      <c r="C204" s="4">
        <v>43330</v>
      </c>
      <c r="D204" s="2">
        <v>0.5</v>
      </c>
      <c r="E204" s="1" t="s">
        <v>770</v>
      </c>
      <c r="F204" s="5">
        <v>1</v>
      </c>
      <c r="G204" s="5">
        <v>2</v>
      </c>
      <c r="H204" s="1">
        <v>2.0099999999999998</v>
      </c>
      <c r="I204" s="1">
        <v>3.56</v>
      </c>
      <c r="J204" s="1">
        <v>3.16</v>
      </c>
      <c r="K204" s="6">
        <f>+H204-J204</f>
        <v>-1.1500000000000004</v>
      </c>
      <c r="L204" s="7" t="str">
        <f>IF(F204-G204&gt;0,"Win","Loss")</f>
        <v>Loss</v>
      </c>
      <c r="M204" s="14">
        <f t="shared" si="4"/>
        <v>-50</v>
      </c>
      <c r="N204" s="14">
        <f t="shared" si="5"/>
        <v>50</v>
      </c>
    </row>
    <row r="205" spans="1:14" ht="12.75" x14ac:dyDescent="0.2">
      <c r="A205" s="1" t="s">
        <v>1022</v>
      </c>
      <c r="B205" s="3" t="s">
        <v>1023</v>
      </c>
      <c r="C205" s="4">
        <v>43330</v>
      </c>
      <c r="D205" s="2">
        <v>0.45833333333333331</v>
      </c>
      <c r="E205" s="1" t="s">
        <v>771</v>
      </c>
      <c r="F205" s="5">
        <v>2</v>
      </c>
      <c r="G205" s="5">
        <v>0</v>
      </c>
      <c r="H205" s="1">
        <v>1.58</v>
      </c>
      <c r="I205" s="1">
        <v>4.0999999999999996</v>
      </c>
      <c r="J205" s="1">
        <v>4.5199999999999996</v>
      </c>
      <c r="K205" s="6">
        <f>+H205-J205</f>
        <v>-2.9399999999999995</v>
      </c>
      <c r="L205" s="7" t="str">
        <f>IF(F205-G205&gt;0,"Win","Loss")</f>
        <v>Win</v>
      </c>
      <c r="M205" s="14">
        <f t="shared" si="4"/>
        <v>29</v>
      </c>
      <c r="N205" s="14">
        <f t="shared" si="5"/>
        <v>50</v>
      </c>
    </row>
    <row r="206" spans="1:14" ht="12.75" x14ac:dyDescent="0.2">
      <c r="A206" s="1" t="s">
        <v>1016</v>
      </c>
      <c r="B206" s="3" t="s">
        <v>1017</v>
      </c>
      <c r="C206" s="4">
        <v>43331</v>
      </c>
      <c r="D206" s="2">
        <v>0.91666666666666663</v>
      </c>
      <c r="E206" s="1" t="s">
        <v>589</v>
      </c>
      <c r="F206" s="5">
        <v>1</v>
      </c>
      <c r="G206" s="5">
        <v>0</v>
      </c>
      <c r="H206" s="1">
        <v>2.4900000000000002</v>
      </c>
      <c r="I206" s="1">
        <v>2.94</v>
      </c>
      <c r="J206" s="1">
        <v>2.91</v>
      </c>
      <c r="K206" s="6">
        <f>+H206-J206</f>
        <v>-0.41999999999999993</v>
      </c>
      <c r="L206" s="7" t="str">
        <f>IF(F206-G206&gt;0,"Win","Loss")</f>
        <v>Win</v>
      </c>
      <c r="M206" s="14">
        <f t="shared" ref="M206:M269" si="6">IF(L206="Win",(H206*N206)-N206,-N206)</f>
        <v>74.500000000000014</v>
      </c>
      <c r="N206" s="14">
        <f t="shared" ref="N206:N269" si="7">+$M$1</f>
        <v>50</v>
      </c>
    </row>
    <row r="207" spans="1:14" ht="12.75" x14ac:dyDescent="0.2">
      <c r="A207" s="1" t="s">
        <v>1016</v>
      </c>
      <c r="B207" s="3" t="s">
        <v>1017</v>
      </c>
      <c r="C207" s="4">
        <v>43331</v>
      </c>
      <c r="D207" s="2">
        <v>0.83333333333333337</v>
      </c>
      <c r="E207" s="1" t="s">
        <v>590</v>
      </c>
      <c r="F207" s="5">
        <v>1</v>
      </c>
      <c r="G207" s="5">
        <v>0</v>
      </c>
      <c r="H207" s="1">
        <v>1.83</v>
      </c>
      <c r="I207" s="1">
        <v>3.27</v>
      </c>
      <c r="J207" s="1">
        <v>4.29</v>
      </c>
      <c r="K207" s="6">
        <f>+H207-J207</f>
        <v>-2.46</v>
      </c>
      <c r="L207" s="7" t="str">
        <f>IF(F207-G207&gt;0,"Win","Loss")</f>
        <v>Win</v>
      </c>
      <c r="M207" s="14">
        <f t="shared" si="6"/>
        <v>41.5</v>
      </c>
      <c r="N207" s="14">
        <f t="shared" si="7"/>
        <v>50</v>
      </c>
    </row>
    <row r="208" spans="1:14" ht="12.75" x14ac:dyDescent="0.2">
      <c r="A208" s="1" t="s">
        <v>1022</v>
      </c>
      <c r="B208" s="3" t="s">
        <v>1023</v>
      </c>
      <c r="C208" s="4">
        <v>43331</v>
      </c>
      <c r="D208" s="2">
        <v>0.54166666666666663</v>
      </c>
      <c r="E208" s="1" t="s">
        <v>766</v>
      </c>
      <c r="F208" s="5">
        <v>0</v>
      </c>
      <c r="G208" s="5">
        <v>1</v>
      </c>
      <c r="H208" s="1">
        <v>1.73</v>
      </c>
      <c r="I208" s="1">
        <v>3.52</v>
      </c>
      <c r="J208" s="1">
        <v>4.33</v>
      </c>
      <c r="K208" s="6">
        <f>+H208-J208</f>
        <v>-2.6</v>
      </c>
      <c r="L208" s="7" t="str">
        <f>IF(F208-G208&gt;0,"Win","Loss")</f>
        <v>Loss</v>
      </c>
      <c r="M208" s="14">
        <f t="shared" si="6"/>
        <v>-50</v>
      </c>
      <c r="N208" s="14">
        <f t="shared" si="7"/>
        <v>50</v>
      </c>
    </row>
    <row r="209" spans="1:14" ht="12.75" x14ac:dyDescent="0.2">
      <c r="A209" s="1" t="s">
        <v>1022</v>
      </c>
      <c r="B209" s="3" t="s">
        <v>1023</v>
      </c>
      <c r="C209" s="4">
        <v>43331</v>
      </c>
      <c r="D209" s="2">
        <v>0.45833333333333331</v>
      </c>
      <c r="E209" s="1" t="s">
        <v>767</v>
      </c>
      <c r="F209" s="5">
        <v>0</v>
      </c>
      <c r="G209" s="5">
        <v>1</v>
      </c>
      <c r="H209" s="1">
        <v>3.46</v>
      </c>
      <c r="I209" s="1">
        <v>3.52</v>
      </c>
      <c r="J209" s="1">
        <v>1.88</v>
      </c>
      <c r="K209" s="6">
        <f>+H209-J209</f>
        <v>1.58</v>
      </c>
      <c r="L209" s="7" t="str">
        <f>IF(F209-G209&gt;0,"Win","Loss")</f>
        <v>Loss</v>
      </c>
      <c r="M209" s="14">
        <f t="shared" si="6"/>
        <v>-50</v>
      </c>
      <c r="N209" s="14">
        <f t="shared" si="7"/>
        <v>50</v>
      </c>
    </row>
    <row r="210" spans="1:14" ht="12.75" x14ac:dyDescent="0.2">
      <c r="A210" s="1" t="s">
        <v>1016</v>
      </c>
      <c r="B210" s="3" t="s">
        <v>1017</v>
      </c>
      <c r="C210" s="4">
        <v>43333</v>
      </c>
      <c r="D210" s="2">
        <v>0</v>
      </c>
      <c r="E210" s="1" t="s">
        <v>588</v>
      </c>
      <c r="F210" s="5">
        <v>2</v>
      </c>
      <c r="G210" s="5">
        <v>0</v>
      </c>
      <c r="H210" s="1">
        <v>1.58</v>
      </c>
      <c r="I210" s="1">
        <v>3.97</v>
      </c>
      <c r="J210" s="1">
        <v>4.9800000000000004</v>
      </c>
      <c r="K210" s="6">
        <f>+H210-J210</f>
        <v>-3.4000000000000004</v>
      </c>
      <c r="L210" s="7" t="str">
        <f>IF(F210-G210&gt;0,"Win","Loss")</f>
        <v>Win</v>
      </c>
      <c r="M210" s="14">
        <f t="shared" si="6"/>
        <v>29</v>
      </c>
      <c r="N210" s="14">
        <f t="shared" si="7"/>
        <v>50</v>
      </c>
    </row>
    <row r="211" spans="1:14" ht="12.75" x14ac:dyDescent="0.2">
      <c r="A211" s="1" t="s">
        <v>1024</v>
      </c>
      <c r="B211" s="3" t="s">
        <v>1025</v>
      </c>
      <c r="C211" s="4">
        <v>43333</v>
      </c>
      <c r="D211" s="2">
        <v>0.75</v>
      </c>
      <c r="E211" s="1" t="s">
        <v>821</v>
      </c>
      <c r="F211" s="5">
        <v>1</v>
      </c>
      <c r="G211" s="5">
        <v>0</v>
      </c>
      <c r="H211" s="1">
        <v>1.28</v>
      </c>
      <c r="I211" s="1">
        <v>4.91</v>
      </c>
      <c r="J211" s="1">
        <v>11.33</v>
      </c>
      <c r="K211" s="6">
        <f>+H211-J211</f>
        <v>-10.050000000000001</v>
      </c>
      <c r="L211" s="7" t="str">
        <f>IF(F211-G211&gt;0,"Win","Loss")</f>
        <v>Win</v>
      </c>
      <c r="M211" s="14">
        <f t="shared" si="6"/>
        <v>14</v>
      </c>
      <c r="N211" s="14">
        <f t="shared" si="7"/>
        <v>50</v>
      </c>
    </row>
    <row r="212" spans="1:14" ht="12.75" x14ac:dyDescent="0.2">
      <c r="A212" s="1" t="s">
        <v>1022</v>
      </c>
      <c r="B212" s="3" t="s">
        <v>1023</v>
      </c>
      <c r="C212" s="4">
        <v>43334</v>
      </c>
      <c r="D212" s="2">
        <v>0.70833333333333337</v>
      </c>
      <c r="E212" s="1" t="s">
        <v>760</v>
      </c>
      <c r="F212" s="5">
        <v>2</v>
      </c>
      <c r="G212" s="5">
        <v>0</v>
      </c>
      <c r="H212" s="1">
        <v>2.96</v>
      </c>
      <c r="I212" s="1">
        <v>3.46</v>
      </c>
      <c r="J212" s="1">
        <v>2.13</v>
      </c>
      <c r="K212" s="6">
        <f>+H212-J212</f>
        <v>0.83000000000000007</v>
      </c>
      <c r="L212" s="7" t="str">
        <f>IF(F212-G212&gt;0,"Win","Loss")</f>
        <v>Win</v>
      </c>
      <c r="M212" s="14">
        <f t="shared" si="6"/>
        <v>98</v>
      </c>
      <c r="N212" s="14">
        <f t="shared" si="7"/>
        <v>50</v>
      </c>
    </row>
    <row r="213" spans="1:14" ht="12.75" x14ac:dyDescent="0.2">
      <c r="A213" s="1" t="s">
        <v>1022</v>
      </c>
      <c r="B213" s="3" t="s">
        <v>1023</v>
      </c>
      <c r="C213" s="4">
        <v>43334</v>
      </c>
      <c r="D213" s="2">
        <v>0.66666666666666663</v>
      </c>
      <c r="E213" s="1" t="s">
        <v>761</v>
      </c>
      <c r="F213" s="5">
        <v>0</v>
      </c>
      <c r="G213" s="5">
        <v>2</v>
      </c>
      <c r="H213" s="1">
        <v>2.04</v>
      </c>
      <c r="I213" s="1">
        <v>3.62</v>
      </c>
      <c r="J213" s="1">
        <v>3.05</v>
      </c>
      <c r="K213" s="6">
        <f>+H213-J213</f>
        <v>-1.0099999999999998</v>
      </c>
      <c r="L213" s="7" t="str">
        <f>IF(F213-G213&gt;0,"Win","Loss")</f>
        <v>Loss</v>
      </c>
      <c r="M213" s="14">
        <f t="shared" si="6"/>
        <v>-50</v>
      </c>
      <c r="N213" s="14">
        <f t="shared" si="7"/>
        <v>50</v>
      </c>
    </row>
    <row r="214" spans="1:14" ht="12.75" x14ac:dyDescent="0.2">
      <c r="A214" s="1" t="s">
        <v>1022</v>
      </c>
      <c r="B214" s="3" t="s">
        <v>1023</v>
      </c>
      <c r="C214" s="4">
        <v>43334</v>
      </c>
      <c r="D214" s="2">
        <v>0.66666666666666663</v>
      </c>
      <c r="E214" s="1" t="s">
        <v>762</v>
      </c>
      <c r="F214" s="5">
        <v>1</v>
      </c>
      <c r="G214" s="5">
        <v>1</v>
      </c>
      <c r="H214" s="1">
        <v>2.0299999999999998</v>
      </c>
      <c r="I214" s="1">
        <v>3.31</v>
      </c>
      <c r="J214" s="1">
        <v>3.3</v>
      </c>
      <c r="K214" s="6">
        <f>+H214-J214</f>
        <v>-1.27</v>
      </c>
      <c r="L214" s="7" t="str">
        <f>IF(F214-G214&gt;0,"Win","Loss")</f>
        <v>Loss</v>
      </c>
      <c r="M214" s="14">
        <f t="shared" si="6"/>
        <v>-50</v>
      </c>
      <c r="N214" s="14">
        <f t="shared" si="7"/>
        <v>50</v>
      </c>
    </row>
    <row r="215" spans="1:14" ht="12.75" x14ac:dyDescent="0.2">
      <c r="A215" s="1" t="s">
        <v>1022</v>
      </c>
      <c r="B215" s="3" t="s">
        <v>1023</v>
      </c>
      <c r="C215" s="4">
        <v>43334</v>
      </c>
      <c r="D215" s="2">
        <v>0.66666666666666663</v>
      </c>
      <c r="E215" s="1" t="s">
        <v>763</v>
      </c>
      <c r="F215" s="5">
        <v>1</v>
      </c>
      <c r="G215" s="5">
        <v>2</v>
      </c>
      <c r="H215" s="1">
        <v>3.42</v>
      </c>
      <c r="I215" s="1">
        <v>3.65</v>
      </c>
      <c r="J215" s="1">
        <v>1.9</v>
      </c>
      <c r="K215" s="6">
        <f>+H215-J215</f>
        <v>1.52</v>
      </c>
      <c r="L215" s="7" t="str">
        <f>IF(F215-G215&gt;0,"Win","Loss")</f>
        <v>Loss</v>
      </c>
      <c r="M215" s="14">
        <f t="shared" si="6"/>
        <v>-50</v>
      </c>
      <c r="N215" s="14">
        <f t="shared" si="7"/>
        <v>50</v>
      </c>
    </row>
    <row r="216" spans="1:14" ht="12.75" x14ac:dyDescent="0.2">
      <c r="A216" s="1" t="s">
        <v>1022</v>
      </c>
      <c r="B216" s="3" t="s">
        <v>1023</v>
      </c>
      <c r="C216" s="4">
        <v>43334</v>
      </c>
      <c r="D216" s="2">
        <v>0.66666666666666663</v>
      </c>
      <c r="E216" s="1" t="s">
        <v>764</v>
      </c>
      <c r="F216" s="5">
        <v>1</v>
      </c>
      <c r="G216" s="5">
        <v>3</v>
      </c>
      <c r="H216" s="1">
        <v>2.0499999999999998</v>
      </c>
      <c r="I216" s="1">
        <v>3.53</v>
      </c>
      <c r="J216" s="1">
        <v>3.08</v>
      </c>
      <c r="K216" s="6">
        <f>+H216-J216</f>
        <v>-1.0300000000000002</v>
      </c>
      <c r="L216" s="7" t="str">
        <f>IF(F216-G216&gt;0,"Win","Loss")</f>
        <v>Loss</v>
      </c>
      <c r="M216" s="14">
        <f t="shared" si="6"/>
        <v>-50</v>
      </c>
      <c r="N216" s="14">
        <f t="shared" si="7"/>
        <v>50</v>
      </c>
    </row>
    <row r="217" spans="1:14" ht="12.75" x14ac:dyDescent="0.2">
      <c r="A217" s="1" t="s">
        <v>1022</v>
      </c>
      <c r="B217" s="3" t="s">
        <v>1023</v>
      </c>
      <c r="C217" s="4">
        <v>43334</v>
      </c>
      <c r="D217" s="2">
        <v>0.66666666666666663</v>
      </c>
      <c r="E217" s="1" t="s">
        <v>765</v>
      </c>
      <c r="F217" s="5">
        <v>2</v>
      </c>
      <c r="G217" s="5">
        <v>0</v>
      </c>
      <c r="H217" s="1">
        <v>1.74</v>
      </c>
      <c r="I217" s="1">
        <v>3.35</v>
      </c>
      <c r="J217" s="1">
        <v>4.34</v>
      </c>
      <c r="K217" s="6">
        <f>+H217-J217</f>
        <v>-2.5999999999999996</v>
      </c>
      <c r="L217" s="7" t="str">
        <f>IF(F217-G217&gt;0,"Win","Loss")</f>
        <v>Win</v>
      </c>
      <c r="M217" s="14">
        <f t="shared" si="6"/>
        <v>37</v>
      </c>
      <c r="N217" s="14">
        <f t="shared" si="7"/>
        <v>50</v>
      </c>
    </row>
    <row r="218" spans="1:14" ht="12.75" x14ac:dyDescent="0.2">
      <c r="A218" s="1" t="s">
        <v>1024</v>
      </c>
      <c r="B218" s="3" t="s">
        <v>1025</v>
      </c>
      <c r="C218" s="4">
        <v>43336</v>
      </c>
      <c r="D218" s="2">
        <v>0.79166666666666663</v>
      </c>
      <c r="E218" s="1" t="s">
        <v>818</v>
      </c>
      <c r="F218" s="5">
        <v>0</v>
      </c>
      <c r="G218" s="5">
        <v>2</v>
      </c>
      <c r="H218" s="1">
        <v>10.85</v>
      </c>
      <c r="I218" s="1">
        <v>4.24</v>
      </c>
      <c r="J218" s="1">
        <v>1.34</v>
      </c>
      <c r="K218" s="6">
        <f>+H218-J218</f>
        <v>9.51</v>
      </c>
      <c r="L218" s="7" t="str">
        <f>IF(F218-G218&gt;0,"Win","Loss")</f>
        <v>Loss</v>
      </c>
      <c r="M218" s="14">
        <f t="shared" si="6"/>
        <v>-50</v>
      </c>
      <c r="N218" s="14">
        <f t="shared" si="7"/>
        <v>50</v>
      </c>
    </row>
    <row r="219" spans="1:14" ht="12.75" x14ac:dyDescent="0.2">
      <c r="A219" s="1" t="s">
        <v>1024</v>
      </c>
      <c r="B219" s="3" t="s">
        <v>1025</v>
      </c>
      <c r="C219" s="4">
        <v>43336</v>
      </c>
      <c r="D219" s="2">
        <v>0.67708333333333337</v>
      </c>
      <c r="E219" s="1" t="s">
        <v>819</v>
      </c>
      <c r="F219" s="5">
        <v>1</v>
      </c>
      <c r="G219" s="5">
        <v>0</v>
      </c>
      <c r="H219" s="1">
        <v>2.5499999999999998</v>
      </c>
      <c r="I219" s="1">
        <v>2.82</v>
      </c>
      <c r="J219" s="1">
        <v>3.06</v>
      </c>
      <c r="K219" s="6">
        <f>+H219-J219</f>
        <v>-0.51000000000000023</v>
      </c>
      <c r="L219" s="7" t="str">
        <f>IF(F219-G219&gt;0,"Win","Loss")</f>
        <v>Win</v>
      </c>
      <c r="M219" s="14">
        <f t="shared" si="6"/>
        <v>77.499999999999986</v>
      </c>
      <c r="N219" s="14">
        <f t="shared" si="7"/>
        <v>50</v>
      </c>
    </row>
    <row r="220" spans="1:14" ht="12.75" x14ac:dyDescent="0.2">
      <c r="A220" s="1" t="s">
        <v>1024</v>
      </c>
      <c r="B220" s="3" t="s">
        <v>1025</v>
      </c>
      <c r="C220" s="4">
        <v>43336</v>
      </c>
      <c r="D220" s="2">
        <v>0.58333333333333337</v>
      </c>
      <c r="E220" s="1" t="s">
        <v>820</v>
      </c>
      <c r="F220" s="5">
        <v>1</v>
      </c>
      <c r="G220" s="5">
        <v>2</v>
      </c>
      <c r="H220" s="1">
        <v>2.4500000000000002</v>
      </c>
      <c r="I220" s="1">
        <v>2.9</v>
      </c>
      <c r="J220" s="1">
        <v>3.09</v>
      </c>
      <c r="K220" s="6">
        <f>+H220-J220</f>
        <v>-0.63999999999999968</v>
      </c>
      <c r="L220" s="7" t="str">
        <f>IF(F220-G220&gt;0,"Win","Loss")</f>
        <v>Loss</v>
      </c>
      <c r="M220" s="14">
        <f t="shared" si="6"/>
        <v>-50</v>
      </c>
      <c r="N220" s="14">
        <f t="shared" si="7"/>
        <v>50</v>
      </c>
    </row>
    <row r="221" spans="1:14" ht="12.75" x14ac:dyDescent="0.2">
      <c r="A221" s="1" t="s">
        <v>1022</v>
      </c>
      <c r="B221" s="3" t="s">
        <v>1023</v>
      </c>
      <c r="C221" s="4">
        <v>43337</v>
      </c>
      <c r="D221" s="2">
        <v>0.54166666666666663</v>
      </c>
      <c r="E221" s="1" t="s">
        <v>757</v>
      </c>
      <c r="F221" s="5">
        <v>2</v>
      </c>
      <c r="G221" s="5">
        <v>1</v>
      </c>
      <c r="H221" s="1">
        <v>2.21</v>
      </c>
      <c r="I221" s="1">
        <v>3.39</v>
      </c>
      <c r="J221" s="1">
        <v>2.88</v>
      </c>
      <c r="K221" s="6">
        <f>+H221-J221</f>
        <v>-0.66999999999999993</v>
      </c>
      <c r="L221" s="7" t="str">
        <f>IF(F221-G221&gt;0,"Win","Loss")</f>
        <v>Win</v>
      </c>
      <c r="M221" s="14">
        <f t="shared" si="6"/>
        <v>60.5</v>
      </c>
      <c r="N221" s="14">
        <f t="shared" si="7"/>
        <v>50</v>
      </c>
    </row>
    <row r="222" spans="1:14" ht="12.75" x14ac:dyDescent="0.2">
      <c r="A222" s="1" t="s">
        <v>1022</v>
      </c>
      <c r="B222" s="3" t="s">
        <v>1023</v>
      </c>
      <c r="C222" s="4">
        <v>43337</v>
      </c>
      <c r="D222" s="2">
        <v>0.5</v>
      </c>
      <c r="E222" s="1" t="s">
        <v>758</v>
      </c>
      <c r="F222" s="5">
        <v>0</v>
      </c>
      <c r="G222" s="5">
        <v>1</v>
      </c>
      <c r="H222" s="1">
        <v>1.83</v>
      </c>
      <c r="I222" s="1">
        <v>3.55</v>
      </c>
      <c r="J222" s="1">
        <v>3.79</v>
      </c>
      <c r="K222" s="6">
        <f>+H222-J222</f>
        <v>-1.96</v>
      </c>
      <c r="L222" s="7" t="str">
        <f>IF(F222-G222&gt;0,"Win","Loss")</f>
        <v>Loss</v>
      </c>
      <c r="M222" s="14">
        <f t="shared" si="6"/>
        <v>-50</v>
      </c>
      <c r="N222" s="14">
        <f t="shared" si="7"/>
        <v>50</v>
      </c>
    </row>
    <row r="223" spans="1:14" ht="12.75" x14ac:dyDescent="0.2">
      <c r="A223" s="1" t="s">
        <v>1022</v>
      </c>
      <c r="B223" s="3" t="s">
        <v>1023</v>
      </c>
      <c r="C223" s="4">
        <v>43337</v>
      </c>
      <c r="D223" s="2">
        <v>0.45833333333333331</v>
      </c>
      <c r="E223" s="1" t="s">
        <v>759</v>
      </c>
      <c r="F223" s="5">
        <v>1</v>
      </c>
      <c r="G223" s="5">
        <v>0</v>
      </c>
      <c r="H223" s="1">
        <v>2.25</v>
      </c>
      <c r="I223" s="1">
        <v>3.31</v>
      </c>
      <c r="J223" s="1">
        <v>2.89</v>
      </c>
      <c r="K223" s="6">
        <f>+H223-J223</f>
        <v>-0.64000000000000012</v>
      </c>
      <c r="L223" s="7" t="str">
        <f>IF(F223-G223&gt;0,"Win","Loss")</f>
        <v>Win</v>
      </c>
      <c r="M223" s="14">
        <f t="shared" si="6"/>
        <v>62.5</v>
      </c>
      <c r="N223" s="14">
        <f t="shared" si="7"/>
        <v>50</v>
      </c>
    </row>
    <row r="224" spans="1:14" ht="12.75" x14ac:dyDescent="0.2">
      <c r="A224" s="1" t="s">
        <v>1024</v>
      </c>
      <c r="B224" s="3" t="s">
        <v>1025</v>
      </c>
      <c r="C224" s="4">
        <v>43337</v>
      </c>
      <c r="D224" s="2">
        <v>0.64583333333333337</v>
      </c>
      <c r="E224" s="1" t="s">
        <v>817</v>
      </c>
      <c r="F224" s="5">
        <v>2</v>
      </c>
      <c r="G224" s="5">
        <v>2</v>
      </c>
      <c r="H224" s="1">
        <v>2.17</v>
      </c>
      <c r="I224" s="1">
        <v>2.74</v>
      </c>
      <c r="J224" s="1">
        <v>3.94</v>
      </c>
      <c r="K224" s="6">
        <f>+H224-J224</f>
        <v>-1.77</v>
      </c>
      <c r="L224" s="7" t="str">
        <f>IF(F224-G224&gt;0,"Win","Loss")</f>
        <v>Loss</v>
      </c>
      <c r="M224" s="14">
        <f t="shared" si="6"/>
        <v>-50</v>
      </c>
      <c r="N224" s="14">
        <f t="shared" si="7"/>
        <v>50</v>
      </c>
    </row>
    <row r="225" spans="1:14" ht="12.75" x14ac:dyDescent="0.2">
      <c r="A225" s="1" t="s">
        <v>1016</v>
      </c>
      <c r="B225" s="3" t="s">
        <v>1017</v>
      </c>
      <c r="C225" s="4">
        <v>43338</v>
      </c>
      <c r="D225" s="2">
        <v>0.91666666666666663</v>
      </c>
      <c r="E225" s="1" t="s">
        <v>585</v>
      </c>
      <c r="F225" s="5">
        <v>2</v>
      </c>
      <c r="G225" s="5" t="s">
        <v>978</v>
      </c>
      <c r="H225" s="1">
        <v>1.72</v>
      </c>
      <c r="I225" s="1">
        <v>3.42</v>
      </c>
      <c r="J225" s="1">
        <v>4.84</v>
      </c>
      <c r="K225" s="6">
        <f>+H225-J225</f>
        <v>-3.12</v>
      </c>
      <c r="L225" s="7" t="str">
        <f>IF(F225-G225&gt;0,"Win","Loss")</f>
        <v>Win</v>
      </c>
      <c r="M225" s="14">
        <f t="shared" si="6"/>
        <v>36</v>
      </c>
      <c r="N225" s="14">
        <f t="shared" si="7"/>
        <v>50</v>
      </c>
    </row>
    <row r="226" spans="1:14" ht="12.75" x14ac:dyDescent="0.2">
      <c r="A226" s="1" t="s">
        <v>1016</v>
      </c>
      <c r="B226" s="3" t="s">
        <v>1017</v>
      </c>
      <c r="C226" s="4">
        <v>43338</v>
      </c>
      <c r="D226" s="2">
        <v>0.83333333333333337</v>
      </c>
      <c r="E226" s="1" t="s">
        <v>586</v>
      </c>
      <c r="F226" s="5">
        <v>1</v>
      </c>
      <c r="G226" s="5">
        <v>1</v>
      </c>
      <c r="H226" s="1">
        <v>1.5</v>
      </c>
      <c r="I226" s="1">
        <v>3.93</v>
      </c>
      <c r="J226" s="1">
        <v>6.15</v>
      </c>
      <c r="K226" s="6">
        <f>+H226-J226</f>
        <v>-4.6500000000000004</v>
      </c>
      <c r="L226" s="7" t="str">
        <f>IF(F226-G226&gt;0,"Win","Loss")</f>
        <v>Loss</v>
      </c>
      <c r="M226" s="14">
        <f t="shared" si="6"/>
        <v>-50</v>
      </c>
      <c r="N226" s="14">
        <f t="shared" si="7"/>
        <v>50</v>
      </c>
    </row>
    <row r="227" spans="1:14" ht="12.75" x14ac:dyDescent="0.2">
      <c r="A227" s="1" t="s">
        <v>1016</v>
      </c>
      <c r="B227" s="3" t="s">
        <v>1017</v>
      </c>
      <c r="C227" s="4">
        <v>43338</v>
      </c>
      <c r="D227" s="2">
        <v>0.75</v>
      </c>
      <c r="E227" s="1" t="s">
        <v>587</v>
      </c>
      <c r="F227" s="5">
        <v>3</v>
      </c>
      <c r="G227" s="5">
        <v>0</v>
      </c>
      <c r="H227" s="1">
        <v>1.79</v>
      </c>
      <c r="I227" s="1">
        <v>3.27</v>
      </c>
      <c r="J227" s="1">
        <v>4.58</v>
      </c>
      <c r="K227" s="6">
        <f>+H227-J227</f>
        <v>-2.79</v>
      </c>
      <c r="L227" s="7" t="str">
        <f>IF(F227-G227&gt;0,"Win","Loss")</f>
        <v>Win</v>
      </c>
      <c r="M227" s="14">
        <f t="shared" si="6"/>
        <v>39.5</v>
      </c>
      <c r="N227" s="14">
        <f t="shared" si="7"/>
        <v>50</v>
      </c>
    </row>
    <row r="228" spans="1:14" ht="12.75" x14ac:dyDescent="0.2">
      <c r="A228" s="1" t="s">
        <v>1022</v>
      </c>
      <c r="B228" s="3" t="s">
        <v>1023</v>
      </c>
      <c r="C228" s="4">
        <v>43338</v>
      </c>
      <c r="D228" s="2">
        <v>0.54166666666666663</v>
      </c>
      <c r="E228" s="1" t="s">
        <v>754</v>
      </c>
      <c r="F228" s="5">
        <v>1</v>
      </c>
      <c r="G228" s="5">
        <v>1</v>
      </c>
      <c r="H228" s="1">
        <v>1.68</v>
      </c>
      <c r="I228" s="1">
        <v>3.72</v>
      </c>
      <c r="J228" s="1">
        <v>4.3499999999999996</v>
      </c>
      <c r="K228" s="6">
        <f>+H228-J228</f>
        <v>-2.67</v>
      </c>
      <c r="L228" s="7" t="str">
        <f>IF(F228-G228&gt;0,"Win","Loss")</f>
        <v>Loss</v>
      </c>
      <c r="M228" s="14">
        <f t="shared" si="6"/>
        <v>-50</v>
      </c>
      <c r="N228" s="14">
        <f t="shared" si="7"/>
        <v>50</v>
      </c>
    </row>
    <row r="229" spans="1:14" ht="12.75" x14ac:dyDescent="0.2">
      <c r="A229" s="1" t="s">
        <v>1022</v>
      </c>
      <c r="B229" s="3" t="s">
        <v>1023</v>
      </c>
      <c r="C229" s="4">
        <v>43338</v>
      </c>
      <c r="D229" s="2">
        <v>0.54166666666666663</v>
      </c>
      <c r="E229" s="1" t="s">
        <v>755</v>
      </c>
      <c r="F229" s="5">
        <v>3</v>
      </c>
      <c r="G229" s="5">
        <v>0</v>
      </c>
      <c r="H229" s="1">
        <v>1.7</v>
      </c>
      <c r="I229" s="1">
        <v>3.55</v>
      </c>
      <c r="J229" s="1">
        <v>4.42</v>
      </c>
      <c r="K229" s="6">
        <f>+H229-J229</f>
        <v>-2.7199999999999998</v>
      </c>
      <c r="L229" s="7" t="str">
        <f>IF(F229-G229&gt;0,"Win","Loss")</f>
        <v>Win</v>
      </c>
      <c r="M229" s="14">
        <f t="shared" si="6"/>
        <v>35</v>
      </c>
      <c r="N229" s="14">
        <f t="shared" si="7"/>
        <v>50</v>
      </c>
    </row>
    <row r="230" spans="1:14" ht="12.75" x14ac:dyDescent="0.2">
      <c r="A230" s="1" t="s">
        <v>1022</v>
      </c>
      <c r="B230" s="3" t="s">
        <v>1023</v>
      </c>
      <c r="C230" s="4">
        <v>43338</v>
      </c>
      <c r="D230" s="2">
        <v>0.45833333333333331</v>
      </c>
      <c r="E230" s="1" t="s">
        <v>756</v>
      </c>
      <c r="F230" s="5">
        <v>0</v>
      </c>
      <c r="G230" s="5">
        <v>1</v>
      </c>
      <c r="H230" s="1">
        <v>2.72</v>
      </c>
      <c r="I230" s="1">
        <v>3.39</v>
      </c>
      <c r="J230" s="1">
        <v>2.31</v>
      </c>
      <c r="K230" s="6">
        <f>+H230-J230</f>
        <v>0.41000000000000014</v>
      </c>
      <c r="L230" s="7" t="str">
        <f>IF(F230-G230&gt;0,"Win","Loss")</f>
        <v>Loss</v>
      </c>
      <c r="M230" s="14">
        <f t="shared" si="6"/>
        <v>-50</v>
      </c>
      <c r="N230" s="14">
        <f t="shared" si="7"/>
        <v>50</v>
      </c>
    </row>
    <row r="231" spans="1:14" ht="12.75" x14ac:dyDescent="0.2">
      <c r="A231" s="1" t="s">
        <v>1024</v>
      </c>
      <c r="B231" s="3" t="s">
        <v>1025</v>
      </c>
      <c r="C231" s="4">
        <v>43338</v>
      </c>
      <c r="D231" s="2">
        <v>0.79166666666666663</v>
      </c>
      <c r="E231" s="1" t="s">
        <v>814</v>
      </c>
      <c r="F231" s="5">
        <v>0</v>
      </c>
      <c r="G231" s="5">
        <v>0</v>
      </c>
      <c r="H231" s="1">
        <v>2.37</v>
      </c>
      <c r="I231" s="1">
        <v>2.82</v>
      </c>
      <c r="J231" s="1">
        <v>3.39</v>
      </c>
      <c r="K231" s="6">
        <f>+H231-J231</f>
        <v>-1.02</v>
      </c>
      <c r="L231" s="7" t="str">
        <f>IF(F231-G231&gt;0,"Win","Loss")</f>
        <v>Loss</v>
      </c>
      <c r="M231" s="14">
        <f t="shared" si="6"/>
        <v>-50</v>
      </c>
      <c r="N231" s="14">
        <f t="shared" si="7"/>
        <v>50</v>
      </c>
    </row>
    <row r="232" spans="1:14" ht="12.75" x14ac:dyDescent="0.2">
      <c r="A232" s="1" t="s">
        <v>1024</v>
      </c>
      <c r="B232" s="3" t="s">
        <v>1025</v>
      </c>
      <c r="C232" s="4">
        <v>43338</v>
      </c>
      <c r="D232" s="2">
        <v>0.67708333333333337</v>
      </c>
      <c r="E232" s="1" t="s">
        <v>815</v>
      </c>
      <c r="F232" s="5">
        <v>3</v>
      </c>
      <c r="G232" s="5">
        <v>1</v>
      </c>
      <c r="H232" s="1">
        <v>1.48</v>
      </c>
      <c r="I232" s="1">
        <v>3.77</v>
      </c>
      <c r="J232" s="1">
        <v>7.52</v>
      </c>
      <c r="K232" s="6">
        <f>+H232-J232</f>
        <v>-6.0399999999999991</v>
      </c>
      <c r="L232" s="7" t="str">
        <f>IF(F232-G232&gt;0,"Win","Loss")</f>
        <v>Win</v>
      </c>
      <c r="M232" s="14">
        <f t="shared" si="6"/>
        <v>24</v>
      </c>
      <c r="N232" s="14">
        <f t="shared" si="7"/>
        <v>50</v>
      </c>
    </row>
    <row r="233" spans="1:14" ht="12.75" x14ac:dyDescent="0.2">
      <c r="A233" s="1" t="s">
        <v>1024</v>
      </c>
      <c r="B233" s="3" t="s">
        <v>1025</v>
      </c>
      <c r="C233" s="4">
        <v>43338</v>
      </c>
      <c r="D233" s="2">
        <v>0.58333333333333337</v>
      </c>
      <c r="E233" s="1" t="s">
        <v>816</v>
      </c>
      <c r="F233" s="5">
        <v>0</v>
      </c>
      <c r="G233" s="5">
        <v>0</v>
      </c>
      <c r="H233" s="1">
        <v>2.1800000000000002</v>
      </c>
      <c r="I233" s="1">
        <v>2.96</v>
      </c>
      <c r="J233" s="1">
        <v>3.62</v>
      </c>
      <c r="K233" s="6">
        <f>+H233-J233</f>
        <v>-1.44</v>
      </c>
      <c r="L233" s="7" t="str">
        <f>IF(F233-G233&gt;0,"Win","Loss")</f>
        <v>Loss</v>
      </c>
      <c r="M233" s="14">
        <f t="shared" si="6"/>
        <v>-50</v>
      </c>
      <c r="N233" s="14">
        <f t="shared" si="7"/>
        <v>50</v>
      </c>
    </row>
    <row r="234" spans="1:14" ht="12.75" x14ac:dyDescent="0.2">
      <c r="A234" s="1" t="s">
        <v>1024</v>
      </c>
      <c r="B234" s="3" t="s">
        <v>1025</v>
      </c>
      <c r="C234" s="4">
        <v>43339</v>
      </c>
      <c r="D234" s="2">
        <v>0.75</v>
      </c>
      <c r="E234" s="1" t="s">
        <v>813</v>
      </c>
      <c r="F234" s="5">
        <v>0</v>
      </c>
      <c r="G234" s="5">
        <v>1</v>
      </c>
      <c r="H234" s="1">
        <v>1.21</v>
      </c>
      <c r="I234" s="1">
        <v>5.42</v>
      </c>
      <c r="J234" s="1">
        <v>15.31</v>
      </c>
      <c r="K234" s="6">
        <f>+H234-J234</f>
        <v>-14.100000000000001</v>
      </c>
      <c r="L234" s="7" t="str">
        <f>IF(F234-G234&gt;0,"Win","Loss")</f>
        <v>Loss</v>
      </c>
      <c r="M234" s="14">
        <f t="shared" si="6"/>
        <v>-50</v>
      </c>
      <c r="N234" s="14">
        <f t="shared" si="7"/>
        <v>50</v>
      </c>
    </row>
    <row r="235" spans="1:14" ht="12.75" x14ac:dyDescent="0.2">
      <c r="A235" s="1" t="s">
        <v>1016</v>
      </c>
      <c r="B235" s="3" t="s">
        <v>1017</v>
      </c>
      <c r="C235" s="4">
        <v>43340</v>
      </c>
      <c r="D235" s="2">
        <v>0</v>
      </c>
      <c r="E235" s="1" t="s">
        <v>584</v>
      </c>
      <c r="F235" s="5">
        <v>2</v>
      </c>
      <c r="G235" s="5">
        <v>2</v>
      </c>
      <c r="H235" s="1">
        <v>2.0699999999999998</v>
      </c>
      <c r="I235" s="1">
        <v>3.06</v>
      </c>
      <c r="J235" s="1">
        <v>3.44</v>
      </c>
      <c r="K235" s="6">
        <f>+H235-J235</f>
        <v>-1.37</v>
      </c>
      <c r="L235" s="7" t="str">
        <f>IF(F235-G235&gt;0,"Win","Loss")</f>
        <v>Loss</v>
      </c>
      <c r="M235" s="14">
        <f t="shared" si="6"/>
        <v>-50</v>
      </c>
      <c r="N235" s="14">
        <f t="shared" si="7"/>
        <v>50</v>
      </c>
    </row>
    <row r="236" spans="1:14" ht="12.75" x14ac:dyDescent="0.2">
      <c r="A236" s="1" t="s">
        <v>1024</v>
      </c>
      <c r="B236" s="3" t="s">
        <v>1025</v>
      </c>
      <c r="C236" s="4">
        <v>43343</v>
      </c>
      <c r="D236" s="2">
        <v>0.79166666666666663</v>
      </c>
      <c r="E236" s="1" t="s">
        <v>809</v>
      </c>
      <c r="F236" s="5">
        <v>3</v>
      </c>
      <c r="G236" s="5">
        <v>2</v>
      </c>
      <c r="H236" s="1">
        <v>2.81</v>
      </c>
      <c r="I236" s="1">
        <v>2.7</v>
      </c>
      <c r="J236" s="1">
        <v>2.87</v>
      </c>
      <c r="K236" s="6">
        <f>+H236-J236</f>
        <v>-6.0000000000000053E-2</v>
      </c>
      <c r="L236" s="7" t="str">
        <f>IF(F236-G236&gt;0,"Win","Loss")</f>
        <v>Win</v>
      </c>
      <c r="M236" s="14">
        <f t="shared" si="6"/>
        <v>90.5</v>
      </c>
      <c r="N236" s="14">
        <f t="shared" si="7"/>
        <v>50</v>
      </c>
    </row>
    <row r="237" spans="1:14" ht="12.75" x14ac:dyDescent="0.2">
      <c r="A237" s="1" t="s">
        <v>1024</v>
      </c>
      <c r="B237" s="3" t="s">
        <v>1025</v>
      </c>
      <c r="C237" s="4">
        <v>43343</v>
      </c>
      <c r="D237" s="2">
        <v>0.79166666666666663</v>
      </c>
      <c r="E237" s="1" t="s">
        <v>810</v>
      </c>
      <c r="F237" s="5">
        <v>3</v>
      </c>
      <c r="G237" s="5">
        <v>1</v>
      </c>
      <c r="H237" s="1">
        <v>3.47</v>
      </c>
      <c r="I237" s="1">
        <v>2.91</v>
      </c>
      <c r="J237" s="1">
        <v>2.25</v>
      </c>
      <c r="K237" s="6">
        <f>+H237-J237</f>
        <v>1.2200000000000002</v>
      </c>
      <c r="L237" s="7" t="str">
        <f>IF(F237-G237&gt;0,"Win","Loss")</f>
        <v>Win</v>
      </c>
      <c r="M237" s="14">
        <f t="shared" si="6"/>
        <v>123.5</v>
      </c>
      <c r="N237" s="14">
        <f t="shared" si="7"/>
        <v>50</v>
      </c>
    </row>
    <row r="238" spans="1:14" ht="12.75" x14ac:dyDescent="0.2">
      <c r="A238" s="1" t="s">
        <v>1024</v>
      </c>
      <c r="B238" s="3" t="s">
        <v>1025</v>
      </c>
      <c r="C238" s="4">
        <v>43343</v>
      </c>
      <c r="D238" s="2">
        <v>0.66666666666666663</v>
      </c>
      <c r="E238" s="1" t="s">
        <v>811</v>
      </c>
      <c r="F238" s="5">
        <v>1</v>
      </c>
      <c r="G238" s="5">
        <v>1</v>
      </c>
      <c r="H238" s="1">
        <v>6.81</v>
      </c>
      <c r="I238" s="1">
        <v>3.56</v>
      </c>
      <c r="J238" s="1">
        <v>1.54</v>
      </c>
      <c r="K238" s="6">
        <f>+H238-J238</f>
        <v>5.27</v>
      </c>
      <c r="L238" s="7" t="str">
        <f>IF(F238-G238&gt;0,"Win","Loss")</f>
        <v>Loss</v>
      </c>
      <c r="M238" s="14">
        <f t="shared" si="6"/>
        <v>-50</v>
      </c>
      <c r="N238" s="14">
        <f t="shared" si="7"/>
        <v>50</v>
      </c>
    </row>
    <row r="239" spans="1:14" ht="12.75" x14ac:dyDescent="0.2">
      <c r="A239" s="1" t="s">
        <v>1024</v>
      </c>
      <c r="B239" s="3" t="s">
        <v>1025</v>
      </c>
      <c r="C239" s="4">
        <v>43343</v>
      </c>
      <c r="D239" s="2">
        <v>0.66666666666666663</v>
      </c>
      <c r="E239" s="1" t="s">
        <v>812</v>
      </c>
      <c r="F239" s="5">
        <v>0</v>
      </c>
      <c r="G239" s="5">
        <v>0</v>
      </c>
      <c r="H239" s="1">
        <v>2.33</v>
      </c>
      <c r="I239" s="1">
        <v>2.77</v>
      </c>
      <c r="J239" s="1">
        <v>3.52</v>
      </c>
      <c r="K239" s="6">
        <f>+H239-J239</f>
        <v>-1.19</v>
      </c>
      <c r="L239" s="7" t="str">
        <f>IF(F239-G239&gt;0,"Win","Loss")</f>
        <v>Loss</v>
      </c>
      <c r="M239" s="14">
        <f t="shared" si="6"/>
        <v>-50</v>
      </c>
      <c r="N239" s="14">
        <f t="shared" si="7"/>
        <v>50</v>
      </c>
    </row>
    <row r="240" spans="1:14" ht="12.75" x14ac:dyDescent="0.2">
      <c r="A240" s="1" t="s">
        <v>1006</v>
      </c>
      <c r="B240" s="3" t="s">
        <v>1007</v>
      </c>
      <c r="C240" s="4">
        <v>43344</v>
      </c>
      <c r="D240" s="2">
        <v>0.625</v>
      </c>
      <c r="E240" s="1" t="s">
        <v>383</v>
      </c>
      <c r="F240" s="5">
        <v>2</v>
      </c>
      <c r="G240" s="5">
        <v>1</v>
      </c>
      <c r="H240" s="1">
        <v>1.97</v>
      </c>
      <c r="I240" s="1">
        <v>3.72</v>
      </c>
      <c r="J240" s="1">
        <v>3.65</v>
      </c>
      <c r="K240" s="6">
        <f>+H240-J240</f>
        <v>-1.68</v>
      </c>
      <c r="L240" s="7" t="str">
        <f>IF(F240-G240&gt;0,"Win","Loss")</f>
        <v>Win</v>
      </c>
      <c r="M240" s="14">
        <f t="shared" si="6"/>
        <v>48.5</v>
      </c>
      <c r="N240" s="14">
        <f t="shared" si="7"/>
        <v>50</v>
      </c>
    </row>
    <row r="241" spans="1:14" ht="12.75" x14ac:dyDescent="0.2">
      <c r="A241" s="1" t="s">
        <v>1016</v>
      </c>
      <c r="B241" s="3" t="s">
        <v>1017</v>
      </c>
      <c r="C241" s="4">
        <v>43344</v>
      </c>
      <c r="D241" s="2">
        <v>0.79166666666666663</v>
      </c>
      <c r="E241" s="1" t="s">
        <v>583</v>
      </c>
      <c r="F241" s="5">
        <v>0</v>
      </c>
      <c r="G241" s="5">
        <v>0</v>
      </c>
      <c r="H241" s="1">
        <v>2.4300000000000002</v>
      </c>
      <c r="I241" s="1">
        <v>2.91</v>
      </c>
      <c r="J241" s="1">
        <v>3.06</v>
      </c>
      <c r="K241" s="6">
        <f>+H241-J241</f>
        <v>-0.62999999999999989</v>
      </c>
      <c r="L241" s="7" t="str">
        <f>IF(F241-G241&gt;0,"Win","Loss")</f>
        <v>Loss</v>
      </c>
      <c r="M241" s="14">
        <f t="shared" si="6"/>
        <v>-50</v>
      </c>
      <c r="N241" s="14">
        <f t="shared" si="7"/>
        <v>50</v>
      </c>
    </row>
    <row r="242" spans="1:14" ht="12.75" x14ac:dyDescent="0.2">
      <c r="A242" s="1" t="s">
        <v>1018</v>
      </c>
      <c r="B242" s="3" t="s">
        <v>1019</v>
      </c>
      <c r="C242" s="4">
        <v>43344</v>
      </c>
      <c r="D242" s="2">
        <v>0.72916666666666663</v>
      </c>
      <c r="E242" s="1" t="s">
        <v>675</v>
      </c>
      <c r="F242" s="5">
        <v>1</v>
      </c>
      <c r="G242" s="5">
        <v>0</v>
      </c>
      <c r="H242" s="1">
        <v>1.35</v>
      </c>
      <c r="I242" s="1">
        <v>4.5999999999999996</v>
      </c>
      <c r="J242" s="1">
        <v>7.04</v>
      </c>
      <c r="K242" s="6">
        <f>+H242-J242</f>
        <v>-5.6899999999999995</v>
      </c>
      <c r="L242" s="7" t="str">
        <f>IF(F242-G242&gt;0,"Win","Loss")</f>
        <v>Win</v>
      </c>
      <c r="M242" s="14">
        <f t="shared" si="6"/>
        <v>17.5</v>
      </c>
      <c r="N242" s="14">
        <f t="shared" si="7"/>
        <v>50</v>
      </c>
    </row>
    <row r="243" spans="1:14" ht="12.75" x14ac:dyDescent="0.2">
      <c r="A243" s="1" t="s">
        <v>1022</v>
      </c>
      <c r="B243" s="3" t="s">
        <v>1023</v>
      </c>
      <c r="C243" s="4">
        <v>43344</v>
      </c>
      <c r="D243" s="2">
        <v>0.54166666666666663</v>
      </c>
      <c r="E243" s="1" t="s">
        <v>748</v>
      </c>
      <c r="F243" s="5">
        <v>1</v>
      </c>
      <c r="G243" s="5">
        <v>4</v>
      </c>
      <c r="H243" s="1">
        <v>2.41</v>
      </c>
      <c r="I243" s="1">
        <v>3.43</v>
      </c>
      <c r="J243" s="1">
        <v>2.5299999999999998</v>
      </c>
      <c r="K243" s="6">
        <f>+H243-J243</f>
        <v>-0.11999999999999966</v>
      </c>
      <c r="L243" s="7" t="str">
        <f>IF(F243-G243&gt;0,"Win","Loss")</f>
        <v>Loss</v>
      </c>
      <c r="M243" s="14">
        <f t="shared" si="6"/>
        <v>-50</v>
      </c>
      <c r="N243" s="14">
        <f t="shared" si="7"/>
        <v>50</v>
      </c>
    </row>
    <row r="244" spans="1:14" ht="12.75" x14ac:dyDescent="0.2">
      <c r="A244" s="1" t="s">
        <v>1022</v>
      </c>
      <c r="B244" s="3" t="s">
        <v>1023</v>
      </c>
      <c r="C244" s="4">
        <v>43344</v>
      </c>
      <c r="D244" s="2">
        <v>0.5</v>
      </c>
      <c r="E244" s="1" t="s">
        <v>749</v>
      </c>
      <c r="F244" s="5">
        <v>2</v>
      </c>
      <c r="G244" s="5">
        <v>1</v>
      </c>
      <c r="H244" s="1">
        <v>2.81</v>
      </c>
      <c r="I244" s="1">
        <v>3.28</v>
      </c>
      <c r="J244" s="1">
        <v>2.2999999999999998</v>
      </c>
      <c r="K244" s="6">
        <f>+H244-J244</f>
        <v>0.51000000000000023</v>
      </c>
      <c r="L244" s="7" t="str">
        <f>IF(F244-G244&gt;0,"Win","Loss")</f>
        <v>Win</v>
      </c>
      <c r="M244" s="14">
        <f t="shared" si="6"/>
        <v>90.5</v>
      </c>
      <c r="N244" s="14">
        <f t="shared" si="7"/>
        <v>50</v>
      </c>
    </row>
    <row r="245" spans="1:14" ht="12.75" x14ac:dyDescent="0.2">
      <c r="A245" s="1" t="s">
        <v>1022</v>
      </c>
      <c r="B245" s="3" t="s">
        <v>1023</v>
      </c>
      <c r="C245" s="4">
        <v>43344</v>
      </c>
      <c r="D245" s="2">
        <v>0.5</v>
      </c>
      <c r="E245" s="1" t="s">
        <v>750</v>
      </c>
      <c r="F245" s="5">
        <v>1</v>
      </c>
      <c r="G245" s="5">
        <v>4</v>
      </c>
      <c r="H245" s="1">
        <v>1.77</v>
      </c>
      <c r="I245" s="1">
        <v>3.75</v>
      </c>
      <c r="J245" s="1">
        <v>3.8</v>
      </c>
      <c r="K245" s="6">
        <f>+H245-J245</f>
        <v>-2.0299999999999998</v>
      </c>
      <c r="L245" s="7" t="str">
        <f>IF(F245-G245&gt;0,"Win","Loss")</f>
        <v>Loss</v>
      </c>
      <c r="M245" s="14">
        <f t="shared" si="6"/>
        <v>-50</v>
      </c>
      <c r="N245" s="14">
        <f t="shared" si="7"/>
        <v>50</v>
      </c>
    </row>
    <row r="246" spans="1:14" ht="12.75" x14ac:dyDescent="0.2">
      <c r="A246" s="1" t="s">
        <v>1022</v>
      </c>
      <c r="B246" s="3" t="s">
        <v>1023</v>
      </c>
      <c r="C246" s="4">
        <v>43344</v>
      </c>
      <c r="D246" s="2">
        <v>0.5</v>
      </c>
      <c r="E246" s="1" t="s">
        <v>751</v>
      </c>
      <c r="F246" s="5">
        <v>3</v>
      </c>
      <c r="G246" s="5">
        <v>1</v>
      </c>
      <c r="H246" s="1">
        <v>2.42</v>
      </c>
      <c r="I246" s="1">
        <v>3.29</v>
      </c>
      <c r="J246" s="1">
        <v>2.67</v>
      </c>
      <c r="K246" s="6">
        <f>+H246-J246</f>
        <v>-0.25</v>
      </c>
      <c r="L246" s="7" t="str">
        <f>IF(F246-G246&gt;0,"Win","Loss")</f>
        <v>Win</v>
      </c>
      <c r="M246" s="14">
        <f t="shared" si="6"/>
        <v>71</v>
      </c>
      <c r="N246" s="14">
        <f t="shared" si="7"/>
        <v>50</v>
      </c>
    </row>
    <row r="247" spans="1:14" ht="12.75" x14ac:dyDescent="0.2">
      <c r="A247" s="1" t="s">
        <v>1022</v>
      </c>
      <c r="B247" s="3" t="s">
        <v>1023</v>
      </c>
      <c r="C247" s="4">
        <v>43344</v>
      </c>
      <c r="D247" s="2">
        <v>0.45833333333333331</v>
      </c>
      <c r="E247" s="1" t="s">
        <v>752</v>
      </c>
      <c r="F247" s="5">
        <v>3</v>
      </c>
      <c r="G247" s="5">
        <v>3</v>
      </c>
      <c r="H247" s="1">
        <v>2.08</v>
      </c>
      <c r="I247" s="1">
        <v>3.36</v>
      </c>
      <c r="J247" s="1">
        <v>3.15</v>
      </c>
      <c r="K247" s="6">
        <f>+H247-J247</f>
        <v>-1.0699999999999998</v>
      </c>
      <c r="L247" s="7" t="str">
        <f>IF(F247-G247&gt;0,"Win","Loss")</f>
        <v>Loss</v>
      </c>
      <c r="M247" s="14">
        <f t="shared" si="6"/>
        <v>-50</v>
      </c>
      <c r="N247" s="14">
        <f t="shared" si="7"/>
        <v>50</v>
      </c>
    </row>
    <row r="248" spans="1:14" ht="12.75" x14ac:dyDescent="0.2">
      <c r="A248" s="1" t="s">
        <v>1022</v>
      </c>
      <c r="B248" s="3" t="s">
        <v>1023</v>
      </c>
      <c r="C248" s="4">
        <v>43344</v>
      </c>
      <c r="D248" s="2">
        <v>0.45833333333333331</v>
      </c>
      <c r="E248" s="1" t="s">
        <v>753</v>
      </c>
      <c r="F248" s="5">
        <v>1</v>
      </c>
      <c r="G248" s="5">
        <v>1</v>
      </c>
      <c r="H248" s="1">
        <v>2.98</v>
      </c>
      <c r="I248" s="1">
        <v>3.76</v>
      </c>
      <c r="J248" s="1">
        <v>2.04</v>
      </c>
      <c r="K248" s="6">
        <f>+H248-J248</f>
        <v>0.94</v>
      </c>
      <c r="L248" s="7" t="str">
        <f>IF(F248-G248&gt;0,"Win","Loss")</f>
        <v>Loss</v>
      </c>
      <c r="M248" s="14">
        <f t="shared" si="6"/>
        <v>-50</v>
      </c>
      <c r="N248" s="14">
        <f t="shared" si="7"/>
        <v>50</v>
      </c>
    </row>
    <row r="249" spans="1:14" ht="12.75" x14ac:dyDescent="0.2">
      <c r="A249" s="1" t="s">
        <v>1024</v>
      </c>
      <c r="B249" s="3" t="s">
        <v>1025</v>
      </c>
      <c r="C249" s="4">
        <v>43344</v>
      </c>
      <c r="D249" s="2">
        <v>0.79166666666666663</v>
      </c>
      <c r="E249" s="1" t="s">
        <v>808</v>
      </c>
      <c r="F249" s="5">
        <v>1</v>
      </c>
      <c r="G249" s="5">
        <v>4</v>
      </c>
      <c r="H249" s="1">
        <v>4.38</v>
      </c>
      <c r="I249" s="1">
        <v>2.87</v>
      </c>
      <c r="J249" s="1">
        <v>1.98</v>
      </c>
      <c r="K249" s="6">
        <f>+H249-J249</f>
        <v>2.4</v>
      </c>
      <c r="L249" s="7" t="str">
        <f>IF(F249-G249&gt;0,"Win","Loss")</f>
        <v>Loss</v>
      </c>
      <c r="M249" s="14">
        <f t="shared" si="6"/>
        <v>-50</v>
      </c>
      <c r="N249" s="14">
        <f t="shared" si="7"/>
        <v>50</v>
      </c>
    </row>
    <row r="250" spans="1:14" ht="12.75" x14ac:dyDescent="0.2">
      <c r="A250" s="1" t="s">
        <v>1006</v>
      </c>
      <c r="B250" s="3" t="s">
        <v>1007</v>
      </c>
      <c r="C250" s="4">
        <v>43345</v>
      </c>
      <c r="D250" s="2">
        <v>0.625</v>
      </c>
      <c r="E250" s="1" t="s">
        <v>380</v>
      </c>
      <c r="F250" s="5">
        <v>2</v>
      </c>
      <c r="G250" s="5">
        <v>0</v>
      </c>
      <c r="H250" s="1">
        <v>1.64</v>
      </c>
      <c r="I250" s="1">
        <v>3.72</v>
      </c>
      <c r="J250" s="1">
        <v>5.84</v>
      </c>
      <c r="K250" s="6">
        <f>+H250-J250</f>
        <v>-4.2</v>
      </c>
      <c r="L250" s="7" t="str">
        <f>IF(F250-G250&gt;0,"Win","Loss")</f>
        <v>Win</v>
      </c>
      <c r="M250" s="14">
        <f t="shared" si="6"/>
        <v>32</v>
      </c>
      <c r="N250" s="14">
        <f t="shared" si="7"/>
        <v>50</v>
      </c>
    </row>
    <row r="251" spans="1:14" ht="12.75" x14ac:dyDescent="0.2">
      <c r="A251" s="1" t="s">
        <v>1006</v>
      </c>
      <c r="B251" s="3" t="s">
        <v>1007</v>
      </c>
      <c r="C251" s="4">
        <v>43345</v>
      </c>
      <c r="D251" s="2">
        <v>0.625</v>
      </c>
      <c r="E251" s="1" t="s">
        <v>381</v>
      </c>
      <c r="F251" s="5">
        <v>3</v>
      </c>
      <c r="G251" s="5">
        <v>1</v>
      </c>
      <c r="H251" s="1">
        <v>1.1299999999999999</v>
      </c>
      <c r="I251" s="1">
        <v>8.76</v>
      </c>
      <c r="J251" s="1">
        <v>19.03</v>
      </c>
      <c r="K251" s="6">
        <f>+H251-J251</f>
        <v>-17.900000000000002</v>
      </c>
      <c r="L251" s="7" t="str">
        <f>IF(F251-G251&gt;0,"Win","Loss")</f>
        <v>Win</v>
      </c>
      <c r="M251" s="14">
        <f t="shared" si="6"/>
        <v>6.4999999999999929</v>
      </c>
      <c r="N251" s="14">
        <f t="shared" si="7"/>
        <v>50</v>
      </c>
    </row>
    <row r="252" spans="1:14" ht="12.75" x14ac:dyDescent="0.2">
      <c r="A252" s="1" t="s">
        <v>1006</v>
      </c>
      <c r="B252" s="3" t="s">
        <v>1007</v>
      </c>
      <c r="C252" s="4">
        <v>43345</v>
      </c>
      <c r="D252" s="2">
        <v>0.625</v>
      </c>
      <c r="E252" s="1" t="s">
        <v>382</v>
      </c>
      <c r="F252" s="5">
        <v>1</v>
      </c>
      <c r="G252" s="5">
        <v>1</v>
      </c>
      <c r="H252" s="1">
        <v>2.44</v>
      </c>
      <c r="I252" s="1">
        <v>3.51</v>
      </c>
      <c r="J252" s="1">
        <v>2.8</v>
      </c>
      <c r="K252" s="6">
        <f>+H252-J252</f>
        <v>-0.35999999999999988</v>
      </c>
      <c r="L252" s="7" t="str">
        <f>IF(F252-G252&gt;0,"Win","Loss")</f>
        <v>Loss</v>
      </c>
      <c r="M252" s="14">
        <f t="shared" si="6"/>
        <v>-50</v>
      </c>
      <c r="N252" s="14">
        <f t="shared" si="7"/>
        <v>50</v>
      </c>
    </row>
    <row r="253" spans="1:14" ht="12.75" x14ac:dyDescent="0.2">
      <c r="A253" s="1" t="s">
        <v>1016</v>
      </c>
      <c r="B253" s="3" t="s">
        <v>1017</v>
      </c>
      <c r="C253" s="4">
        <v>43345</v>
      </c>
      <c r="D253" s="2">
        <v>0.91666666666666663</v>
      </c>
      <c r="E253" s="1" t="s">
        <v>582</v>
      </c>
      <c r="F253" s="5">
        <v>0</v>
      </c>
      <c r="G253" s="5">
        <v>0</v>
      </c>
      <c r="H253" s="1">
        <v>1.81</v>
      </c>
      <c r="I253" s="1">
        <v>3.18</v>
      </c>
      <c r="J253" s="1">
        <v>4.28</v>
      </c>
      <c r="K253" s="6">
        <f>+H253-J253</f>
        <v>-2.4700000000000002</v>
      </c>
      <c r="L253" s="7" t="str">
        <f>IF(F253-G253&gt;0,"Win","Loss")</f>
        <v>Loss</v>
      </c>
      <c r="M253" s="14">
        <f t="shared" si="6"/>
        <v>-50</v>
      </c>
      <c r="N253" s="14">
        <f t="shared" si="7"/>
        <v>50</v>
      </c>
    </row>
    <row r="254" spans="1:14" ht="12.75" x14ac:dyDescent="0.2">
      <c r="A254" s="1" t="s">
        <v>1018</v>
      </c>
      <c r="B254" s="3" t="s">
        <v>1019</v>
      </c>
      <c r="C254" s="4">
        <v>43345</v>
      </c>
      <c r="D254" s="2">
        <v>0.70833333333333337</v>
      </c>
      <c r="E254" s="1" t="s">
        <v>674</v>
      </c>
      <c r="F254" s="5">
        <v>1</v>
      </c>
      <c r="G254" s="5">
        <v>0</v>
      </c>
      <c r="H254" s="1">
        <v>2.46</v>
      </c>
      <c r="I254" s="1">
        <v>3.19</v>
      </c>
      <c r="J254" s="1">
        <v>2.6</v>
      </c>
      <c r="K254" s="6">
        <f>+H254-J254</f>
        <v>-0.14000000000000012</v>
      </c>
      <c r="L254" s="7" t="str">
        <f>IF(F254-G254&gt;0,"Win","Loss")</f>
        <v>Win</v>
      </c>
      <c r="M254" s="14">
        <f t="shared" si="6"/>
        <v>73</v>
      </c>
      <c r="N254" s="14">
        <f t="shared" si="7"/>
        <v>50</v>
      </c>
    </row>
    <row r="255" spans="1:14" ht="12.75" x14ac:dyDescent="0.2">
      <c r="A255" s="1" t="s">
        <v>1024</v>
      </c>
      <c r="B255" s="3" t="s">
        <v>1025</v>
      </c>
      <c r="C255" s="4">
        <v>43345</v>
      </c>
      <c r="D255" s="2">
        <v>0.79166666666666663</v>
      </c>
      <c r="E255" s="1" t="s">
        <v>806</v>
      </c>
      <c r="F255" s="5">
        <v>0</v>
      </c>
      <c r="G255" s="5">
        <v>0</v>
      </c>
      <c r="H255" s="1">
        <v>1.4</v>
      </c>
      <c r="I255" s="1">
        <v>4.2300000000000004</v>
      </c>
      <c r="J255" s="1">
        <v>8.33</v>
      </c>
      <c r="K255" s="6">
        <f>+H255-J255</f>
        <v>-6.93</v>
      </c>
      <c r="L255" s="7" t="str">
        <f>IF(F255-G255&gt;0,"Win","Loss")</f>
        <v>Loss</v>
      </c>
      <c r="M255" s="14">
        <f t="shared" si="6"/>
        <v>-50</v>
      </c>
      <c r="N255" s="14">
        <f t="shared" si="7"/>
        <v>50</v>
      </c>
    </row>
    <row r="256" spans="1:14" ht="12.75" x14ac:dyDescent="0.2">
      <c r="A256" s="1" t="s">
        <v>1024</v>
      </c>
      <c r="B256" s="3" t="s">
        <v>1025</v>
      </c>
      <c r="C256" s="4">
        <v>43345</v>
      </c>
      <c r="D256" s="2">
        <v>0.66666666666666663</v>
      </c>
      <c r="E256" s="1" t="s">
        <v>807</v>
      </c>
      <c r="F256" s="5">
        <v>1</v>
      </c>
      <c r="G256" s="5">
        <v>1</v>
      </c>
      <c r="H256" s="1">
        <v>3.36</v>
      </c>
      <c r="I256" s="1">
        <v>2.86</v>
      </c>
      <c r="J256" s="1">
        <v>2.2999999999999998</v>
      </c>
      <c r="K256" s="6">
        <f>+H256-J256</f>
        <v>1.06</v>
      </c>
      <c r="L256" s="7" t="str">
        <f>IF(F256-G256&gt;0,"Win","Loss")</f>
        <v>Loss</v>
      </c>
      <c r="M256" s="14">
        <f t="shared" si="6"/>
        <v>-50</v>
      </c>
      <c r="N256" s="14">
        <f t="shared" si="7"/>
        <v>50</v>
      </c>
    </row>
    <row r="257" spans="1:14" ht="12.75" x14ac:dyDescent="0.2">
      <c r="A257" s="1" t="s">
        <v>1024</v>
      </c>
      <c r="B257" s="3" t="s">
        <v>1025</v>
      </c>
      <c r="C257" s="4">
        <v>43346</v>
      </c>
      <c r="D257" s="2">
        <v>0.75</v>
      </c>
      <c r="E257" s="1" t="s">
        <v>805</v>
      </c>
      <c r="F257" s="5">
        <v>0</v>
      </c>
      <c r="G257" s="5">
        <v>0</v>
      </c>
      <c r="H257" s="1">
        <v>2.84</v>
      </c>
      <c r="I257" s="1">
        <v>2.77</v>
      </c>
      <c r="J257" s="1">
        <v>2.78</v>
      </c>
      <c r="K257" s="6">
        <f>+H257-J257</f>
        <v>6.0000000000000053E-2</v>
      </c>
      <c r="L257" s="7" t="str">
        <f>IF(F257-G257&gt;0,"Win","Loss")</f>
        <v>Loss</v>
      </c>
      <c r="M257" s="14">
        <f t="shared" si="6"/>
        <v>-50</v>
      </c>
      <c r="N257" s="14">
        <f t="shared" si="7"/>
        <v>50</v>
      </c>
    </row>
    <row r="258" spans="1:14" ht="12.75" x14ac:dyDescent="0.2">
      <c r="A258" s="1" t="s">
        <v>1018</v>
      </c>
      <c r="B258" s="3" t="s">
        <v>1019</v>
      </c>
      <c r="C258" s="4">
        <v>43350</v>
      </c>
      <c r="D258" s="2">
        <v>0.625</v>
      </c>
      <c r="E258" s="1" t="s">
        <v>672</v>
      </c>
      <c r="F258" s="5">
        <v>2</v>
      </c>
      <c r="G258" s="5">
        <v>2</v>
      </c>
      <c r="H258" s="1">
        <v>1.79</v>
      </c>
      <c r="I258" s="1">
        <v>3.34</v>
      </c>
      <c r="J258" s="1">
        <v>4.17</v>
      </c>
      <c r="K258" s="6">
        <f>+H258-J258</f>
        <v>-2.38</v>
      </c>
      <c r="L258" s="7" t="str">
        <f>IF(F258-G258&gt;0,"Win","Loss")</f>
        <v>Loss</v>
      </c>
      <c r="M258" s="14">
        <f t="shared" si="6"/>
        <v>-50</v>
      </c>
      <c r="N258" s="14">
        <f t="shared" si="7"/>
        <v>50</v>
      </c>
    </row>
    <row r="259" spans="1:14" ht="12.75" x14ac:dyDescent="0.2">
      <c r="A259" s="1" t="s">
        <v>1018</v>
      </c>
      <c r="B259" s="3" t="s">
        <v>1019</v>
      </c>
      <c r="C259" s="4">
        <v>43350</v>
      </c>
      <c r="D259" s="2">
        <v>0.625</v>
      </c>
      <c r="E259" s="1" t="s">
        <v>673</v>
      </c>
      <c r="F259" s="5">
        <v>3</v>
      </c>
      <c r="G259" s="5">
        <v>3</v>
      </c>
      <c r="H259" s="1">
        <v>1.77</v>
      </c>
      <c r="I259" s="1">
        <v>3.66</v>
      </c>
      <c r="J259" s="1">
        <v>3.82</v>
      </c>
      <c r="K259" s="6">
        <f>+H259-J259</f>
        <v>-2.0499999999999998</v>
      </c>
      <c r="L259" s="7" t="str">
        <f>IF(F259-G259&gt;0,"Win","Loss")</f>
        <v>Loss</v>
      </c>
      <c r="M259" s="14">
        <f t="shared" si="6"/>
        <v>-50</v>
      </c>
      <c r="N259" s="14">
        <f t="shared" si="7"/>
        <v>50</v>
      </c>
    </row>
    <row r="260" spans="1:14" ht="12.75" x14ac:dyDescent="0.2">
      <c r="A260" s="1" t="s">
        <v>1016</v>
      </c>
      <c r="B260" s="3" t="s">
        <v>1017</v>
      </c>
      <c r="C260" s="4">
        <v>43351</v>
      </c>
      <c r="D260" s="2">
        <v>0.83333333333333337</v>
      </c>
      <c r="E260" s="1" t="s">
        <v>581</v>
      </c>
      <c r="F260" s="5">
        <v>0</v>
      </c>
      <c r="G260" s="5">
        <v>3</v>
      </c>
      <c r="H260" s="1">
        <v>1.83</v>
      </c>
      <c r="I260" s="1">
        <v>3.17</v>
      </c>
      <c r="J260" s="1">
        <v>4.3899999999999997</v>
      </c>
      <c r="K260" s="6">
        <f>+H260-J260</f>
        <v>-2.5599999999999996</v>
      </c>
      <c r="L260" s="7" t="str">
        <f>IF(F260-G260&gt;0,"Win","Loss")</f>
        <v>Loss</v>
      </c>
      <c r="M260" s="14">
        <f t="shared" si="6"/>
        <v>-50</v>
      </c>
      <c r="N260" s="14">
        <f t="shared" si="7"/>
        <v>50</v>
      </c>
    </row>
    <row r="261" spans="1:14" ht="12.75" x14ac:dyDescent="0.2">
      <c r="A261" s="1" t="s">
        <v>1018</v>
      </c>
      <c r="B261" s="3" t="s">
        <v>1019</v>
      </c>
      <c r="C261" s="4">
        <v>43351</v>
      </c>
      <c r="D261" s="2">
        <v>0.70833333333333337</v>
      </c>
      <c r="E261" s="1" t="s">
        <v>670</v>
      </c>
      <c r="F261" s="5">
        <v>2</v>
      </c>
      <c r="G261" s="5">
        <v>2</v>
      </c>
      <c r="H261" s="1">
        <v>1.65</v>
      </c>
      <c r="I261" s="1">
        <v>3.76</v>
      </c>
      <c r="J261" s="1">
        <v>4.3899999999999997</v>
      </c>
      <c r="K261" s="6">
        <f>+H261-J261</f>
        <v>-2.7399999999999998</v>
      </c>
      <c r="L261" s="7" t="str">
        <f>IF(F261-G261&gt;0,"Win","Loss")</f>
        <v>Loss</v>
      </c>
      <c r="M261" s="14">
        <f t="shared" si="6"/>
        <v>-50</v>
      </c>
      <c r="N261" s="14">
        <f t="shared" si="7"/>
        <v>50</v>
      </c>
    </row>
    <row r="262" spans="1:14" ht="12.75" x14ac:dyDescent="0.2">
      <c r="A262" s="1" t="s">
        <v>1018</v>
      </c>
      <c r="B262" s="3" t="s">
        <v>1019</v>
      </c>
      <c r="C262" s="4">
        <v>43351</v>
      </c>
      <c r="D262" s="2">
        <v>0.625</v>
      </c>
      <c r="E262" s="1" t="s">
        <v>671</v>
      </c>
      <c r="F262" s="5">
        <v>1</v>
      </c>
      <c r="G262" s="5">
        <v>2</v>
      </c>
      <c r="H262" s="1">
        <v>3.6</v>
      </c>
      <c r="I262" s="1">
        <v>3.39</v>
      </c>
      <c r="J262" s="1">
        <v>1.89</v>
      </c>
      <c r="K262" s="6">
        <f>+H262-J262</f>
        <v>1.7100000000000002</v>
      </c>
      <c r="L262" s="7" t="str">
        <f>IF(F262-G262&gt;0,"Win","Loss")</f>
        <v>Loss</v>
      </c>
      <c r="M262" s="14">
        <f t="shared" si="6"/>
        <v>-50</v>
      </c>
      <c r="N262" s="14">
        <f t="shared" si="7"/>
        <v>50</v>
      </c>
    </row>
    <row r="263" spans="1:14" ht="12.75" x14ac:dyDescent="0.2">
      <c r="A263" s="1" t="s">
        <v>1022</v>
      </c>
      <c r="B263" s="3" t="s">
        <v>1023</v>
      </c>
      <c r="C263" s="4">
        <v>43351</v>
      </c>
      <c r="D263" s="2">
        <v>0.5</v>
      </c>
      <c r="E263" s="1" t="s">
        <v>747</v>
      </c>
      <c r="F263" s="5">
        <v>0</v>
      </c>
      <c r="G263" s="5">
        <v>1</v>
      </c>
      <c r="H263" s="1">
        <v>2.14</v>
      </c>
      <c r="I263" s="1">
        <v>3.26</v>
      </c>
      <c r="J263" s="1">
        <v>3.12</v>
      </c>
      <c r="K263" s="6">
        <f>+H263-J263</f>
        <v>-0.98</v>
      </c>
      <c r="L263" s="7" t="str">
        <f>IF(F263-G263&gt;0,"Win","Loss")</f>
        <v>Loss</v>
      </c>
      <c r="M263" s="14">
        <f t="shared" si="6"/>
        <v>-50</v>
      </c>
      <c r="N263" s="14">
        <f t="shared" si="7"/>
        <v>50</v>
      </c>
    </row>
    <row r="264" spans="1:14" ht="12.75" x14ac:dyDescent="0.2">
      <c r="A264" s="1" t="s">
        <v>1016</v>
      </c>
      <c r="B264" s="3" t="s">
        <v>1017</v>
      </c>
      <c r="C264" s="4">
        <v>43352</v>
      </c>
      <c r="D264" s="2">
        <v>0.77083333333333337</v>
      </c>
      <c r="E264" s="1" t="s">
        <v>580</v>
      </c>
      <c r="F264" s="5">
        <v>1</v>
      </c>
      <c r="G264" s="5" t="s">
        <v>978</v>
      </c>
      <c r="H264" s="1">
        <v>1.89</v>
      </c>
      <c r="I264" s="1">
        <v>3.05</v>
      </c>
      <c r="J264" s="1">
        <v>4.4400000000000004</v>
      </c>
      <c r="K264" s="6">
        <f>+H264-J264</f>
        <v>-2.5500000000000007</v>
      </c>
      <c r="L264" s="7" t="str">
        <f>IF(F264-G264&gt;0,"Win","Loss")</f>
        <v>Win</v>
      </c>
      <c r="M264" s="14">
        <f t="shared" si="6"/>
        <v>44.5</v>
      </c>
      <c r="N264" s="14">
        <f t="shared" si="7"/>
        <v>50</v>
      </c>
    </row>
    <row r="265" spans="1:14" ht="12.75" x14ac:dyDescent="0.2">
      <c r="A265" s="1" t="s">
        <v>1018</v>
      </c>
      <c r="B265" s="3" t="s">
        <v>1019</v>
      </c>
      <c r="C265" s="4">
        <v>43352</v>
      </c>
      <c r="D265" s="2">
        <v>0.625</v>
      </c>
      <c r="E265" s="1" t="s">
        <v>668</v>
      </c>
      <c r="F265" s="5">
        <v>1</v>
      </c>
      <c r="G265" s="5">
        <v>1</v>
      </c>
      <c r="H265" s="1">
        <v>2.23</v>
      </c>
      <c r="I265" s="1">
        <v>3.2</v>
      </c>
      <c r="J265" s="1">
        <v>2.97</v>
      </c>
      <c r="K265" s="6">
        <f>+H265-J265</f>
        <v>-0.74000000000000021</v>
      </c>
      <c r="L265" s="7" t="str">
        <f>IF(F265-G265&gt;0,"Win","Loss")</f>
        <v>Loss</v>
      </c>
      <c r="M265" s="14">
        <f t="shared" si="6"/>
        <v>-50</v>
      </c>
      <c r="N265" s="14">
        <f t="shared" si="7"/>
        <v>50</v>
      </c>
    </row>
    <row r="266" spans="1:14" ht="12.75" x14ac:dyDescent="0.2">
      <c r="A266" s="1" t="s">
        <v>1018</v>
      </c>
      <c r="B266" s="3" t="s">
        <v>1019</v>
      </c>
      <c r="C266" s="4">
        <v>43352</v>
      </c>
      <c r="D266" s="2">
        <v>0.58333333333333337</v>
      </c>
      <c r="E266" s="1" t="s">
        <v>669</v>
      </c>
      <c r="F266" s="5">
        <v>2</v>
      </c>
      <c r="G266" s="5">
        <v>2</v>
      </c>
      <c r="H266" s="1">
        <v>3.17</v>
      </c>
      <c r="I266" s="1">
        <v>3.35</v>
      </c>
      <c r="J266" s="1">
        <v>2.0499999999999998</v>
      </c>
      <c r="K266" s="6">
        <f>+H266-J266</f>
        <v>1.1200000000000001</v>
      </c>
      <c r="L266" s="7" t="str">
        <f>IF(F266-G266&gt;0,"Win","Loss")</f>
        <v>Loss</v>
      </c>
      <c r="M266" s="14">
        <f t="shared" si="6"/>
        <v>-50</v>
      </c>
      <c r="N266" s="14">
        <f t="shared" si="7"/>
        <v>50</v>
      </c>
    </row>
    <row r="267" spans="1:14" ht="12.75" x14ac:dyDescent="0.2">
      <c r="A267" s="1" t="s">
        <v>1022</v>
      </c>
      <c r="B267" s="3" t="s">
        <v>1023</v>
      </c>
      <c r="C267" s="4">
        <v>43352</v>
      </c>
      <c r="D267" s="2">
        <v>0.54166666666666663</v>
      </c>
      <c r="E267" s="1" t="s">
        <v>745</v>
      </c>
      <c r="F267" s="5">
        <v>6</v>
      </c>
      <c r="G267" s="5">
        <v>0</v>
      </c>
      <c r="H267" s="1">
        <v>1.48</v>
      </c>
      <c r="I267" s="1">
        <v>4.1100000000000003</v>
      </c>
      <c r="J267" s="1">
        <v>5.58</v>
      </c>
      <c r="K267" s="6">
        <f>+H267-J267</f>
        <v>-4.0999999999999996</v>
      </c>
      <c r="L267" s="7" t="str">
        <f>IF(F267-G267&gt;0,"Win","Loss")</f>
        <v>Win</v>
      </c>
      <c r="M267" s="14">
        <f t="shared" si="6"/>
        <v>24</v>
      </c>
      <c r="N267" s="14">
        <f t="shared" si="7"/>
        <v>50</v>
      </c>
    </row>
    <row r="268" spans="1:14" ht="12.75" x14ac:dyDescent="0.2">
      <c r="A268" s="1" t="s">
        <v>1022</v>
      </c>
      <c r="B268" s="3" t="s">
        <v>1023</v>
      </c>
      <c r="C268" s="4">
        <v>43352</v>
      </c>
      <c r="D268" s="2">
        <v>0.54166666666666663</v>
      </c>
      <c r="E268" s="1" t="s">
        <v>746</v>
      </c>
      <c r="F268" s="5">
        <v>1</v>
      </c>
      <c r="G268" s="5">
        <v>0</v>
      </c>
      <c r="H268" s="1">
        <v>1.99</v>
      </c>
      <c r="I268" s="1">
        <v>3.27</v>
      </c>
      <c r="J268" s="1">
        <v>3.51</v>
      </c>
      <c r="K268" s="6">
        <f>+H268-J268</f>
        <v>-1.5199999999999998</v>
      </c>
      <c r="L268" s="7" t="str">
        <f>IF(F268-G268&gt;0,"Win","Loss")</f>
        <v>Win</v>
      </c>
      <c r="M268" s="14">
        <f t="shared" si="6"/>
        <v>49.5</v>
      </c>
      <c r="N268" s="14">
        <f t="shared" si="7"/>
        <v>50</v>
      </c>
    </row>
    <row r="269" spans="1:14" ht="12.75" x14ac:dyDescent="0.2">
      <c r="A269" s="1" t="s">
        <v>1018</v>
      </c>
      <c r="B269" s="3" t="s">
        <v>1019</v>
      </c>
      <c r="C269" s="4">
        <v>43353</v>
      </c>
      <c r="D269" s="2">
        <v>0.625</v>
      </c>
      <c r="E269" s="1" t="s">
        <v>667</v>
      </c>
      <c r="F269" s="5">
        <v>1</v>
      </c>
      <c r="G269" s="5">
        <v>0</v>
      </c>
      <c r="H269" s="1">
        <v>3.23</v>
      </c>
      <c r="I269" s="1">
        <v>3.04</v>
      </c>
      <c r="J269" s="1">
        <v>2.1800000000000002</v>
      </c>
      <c r="K269" s="6">
        <f>+H269-J269</f>
        <v>1.0499999999999998</v>
      </c>
      <c r="L269" s="7" t="str">
        <f>IF(F269-G269&gt;0,"Win","Loss")</f>
        <v>Win</v>
      </c>
      <c r="M269" s="14">
        <f t="shared" si="6"/>
        <v>111.5</v>
      </c>
      <c r="N269" s="14">
        <f t="shared" si="7"/>
        <v>50</v>
      </c>
    </row>
    <row r="270" spans="1:14" ht="12.75" x14ac:dyDescent="0.2">
      <c r="A270" s="1" t="s">
        <v>1022</v>
      </c>
      <c r="B270" s="3" t="s">
        <v>1023</v>
      </c>
      <c r="C270" s="4">
        <v>43354</v>
      </c>
      <c r="D270" s="2">
        <v>0.66666666666666663</v>
      </c>
      <c r="E270" s="1" t="s">
        <v>744</v>
      </c>
      <c r="F270" s="5">
        <v>0</v>
      </c>
      <c r="G270" s="5">
        <v>3</v>
      </c>
      <c r="H270" s="1">
        <v>2.77</v>
      </c>
      <c r="I270" s="1">
        <v>3.45</v>
      </c>
      <c r="J270" s="1">
        <v>2.23</v>
      </c>
      <c r="K270" s="6">
        <f>+H270-J270</f>
        <v>0.54</v>
      </c>
      <c r="L270" s="7" t="str">
        <f>IF(F270-G270&gt;0,"Win","Loss")</f>
        <v>Loss</v>
      </c>
      <c r="M270" s="14">
        <f t="shared" ref="M270:M333" si="8">IF(L270="Win",(H270*N270)-N270,-N270)</f>
        <v>-50</v>
      </c>
      <c r="N270" s="14">
        <f t="shared" ref="N270:N333" si="9">+$M$1</f>
        <v>50</v>
      </c>
    </row>
    <row r="271" spans="1:14" ht="12.75" x14ac:dyDescent="0.2">
      <c r="A271" s="1" t="s">
        <v>1024</v>
      </c>
      <c r="B271" s="3" t="s">
        <v>1025</v>
      </c>
      <c r="C271" s="4">
        <v>43354</v>
      </c>
      <c r="D271" s="2">
        <v>0.66666666666666663</v>
      </c>
      <c r="E271" s="1" t="s">
        <v>804</v>
      </c>
      <c r="F271" s="5">
        <v>5</v>
      </c>
      <c r="G271" s="5">
        <v>3</v>
      </c>
      <c r="H271" s="1">
        <v>1.76</v>
      </c>
      <c r="I271" s="1">
        <v>3.11</v>
      </c>
      <c r="J271" s="1">
        <v>5.13</v>
      </c>
      <c r="K271" s="6">
        <f>+H271-J271</f>
        <v>-3.37</v>
      </c>
      <c r="L271" s="7" t="str">
        <f>IF(F271-G271&gt;0,"Win","Loss")</f>
        <v>Win</v>
      </c>
      <c r="M271" s="14">
        <f t="shared" si="8"/>
        <v>38</v>
      </c>
      <c r="N271" s="14">
        <f t="shared" si="9"/>
        <v>50</v>
      </c>
    </row>
    <row r="272" spans="1:14" ht="12.75" x14ac:dyDescent="0.2">
      <c r="A272" s="1" t="s">
        <v>1024</v>
      </c>
      <c r="B272" s="3" t="s">
        <v>1025</v>
      </c>
      <c r="C272" s="4">
        <v>43355</v>
      </c>
      <c r="D272" s="2">
        <v>0.79166666666666663</v>
      </c>
      <c r="E272" s="1" t="s">
        <v>799</v>
      </c>
      <c r="F272" s="5">
        <v>1</v>
      </c>
      <c r="G272" s="5">
        <v>1</v>
      </c>
      <c r="H272" s="1">
        <v>1.76</v>
      </c>
      <c r="I272" s="1">
        <v>3.26</v>
      </c>
      <c r="J272" s="1">
        <v>4.8499999999999996</v>
      </c>
      <c r="K272" s="6">
        <f>+H272-J272</f>
        <v>-3.09</v>
      </c>
      <c r="L272" s="7" t="str">
        <f>IF(F272-G272&gt;0,"Win","Loss")</f>
        <v>Loss</v>
      </c>
      <c r="M272" s="14">
        <f t="shared" si="8"/>
        <v>-50</v>
      </c>
      <c r="N272" s="14">
        <f t="shared" si="9"/>
        <v>50</v>
      </c>
    </row>
    <row r="273" spans="1:14" ht="12.75" x14ac:dyDescent="0.2">
      <c r="A273" s="1" t="s">
        <v>1024</v>
      </c>
      <c r="B273" s="3" t="s">
        <v>1025</v>
      </c>
      <c r="C273" s="4">
        <v>43355</v>
      </c>
      <c r="D273" s="2">
        <v>0.79166666666666663</v>
      </c>
      <c r="E273" s="1" t="s">
        <v>800</v>
      </c>
      <c r="F273" s="5">
        <v>1</v>
      </c>
      <c r="G273" s="5">
        <v>2</v>
      </c>
      <c r="H273" s="1">
        <v>3.32</v>
      </c>
      <c r="I273" s="1">
        <v>2.68</v>
      </c>
      <c r="J273" s="1">
        <v>2.46</v>
      </c>
      <c r="K273" s="6">
        <f>+H273-J273</f>
        <v>0.85999999999999988</v>
      </c>
      <c r="L273" s="7" t="str">
        <f>IF(F273-G273&gt;0,"Win","Loss")</f>
        <v>Loss</v>
      </c>
      <c r="M273" s="14">
        <f t="shared" si="8"/>
        <v>-50</v>
      </c>
      <c r="N273" s="14">
        <f t="shared" si="9"/>
        <v>50</v>
      </c>
    </row>
    <row r="274" spans="1:14" ht="12.75" x14ac:dyDescent="0.2">
      <c r="A274" s="1" t="s">
        <v>1024</v>
      </c>
      <c r="B274" s="3" t="s">
        <v>1025</v>
      </c>
      <c r="C274" s="4">
        <v>43355</v>
      </c>
      <c r="D274" s="2">
        <v>0.66666666666666663</v>
      </c>
      <c r="E274" s="1" t="s">
        <v>801</v>
      </c>
      <c r="F274" s="5">
        <v>2</v>
      </c>
      <c r="G274" s="5">
        <v>1</v>
      </c>
      <c r="H274" s="1">
        <v>3.11</v>
      </c>
      <c r="I274" s="1">
        <v>2.76</v>
      </c>
      <c r="J274" s="1">
        <v>2.58</v>
      </c>
      <c r="K274" s="6">
        <f>+H274-J274</f>
        <v>0.5299999999999998</v>
      </c>
      <c r="L274" s="7" t="str">
        <f>IF(F274-G274&gt;0,"Win","Loss")</f>
        <v>Win</v>
      </c>
      <c r="M274" s="14">
        <f t="shared" si="8"/>
        <v>105.5</v>
      </c>
      <c r="N274" s="14">
        <f t="shared" si="9"/>
        <v>50</v>
      </c>
    </row>
    <row r="275" spans="1:14" ht="12.75" x14ac:dyDescent="0.2">
      <c r="A275" s="1" t="s">
        <v>1024</v>
      </c>
      <c r="B275" s="3" t="s">
        <v>1025</v>
      </c>
      <c r="C275" s="4">
        <v>43355</v>
      </c>
      <c r="D275" s="2">
        <v>0.5625</v>
      </c>
      <c r="E275" s="1" t="s">
        <v>802</v>
      </c>
      <c r="F275" s="5">
        <v>2</v>
      </c>
      <c r="G275" s="5">
        <v>1</v>
      </c>
      <c r="H275" s="1">
        <v>2.94</v>
      </c>
      <c r="I275" s="1">
        <v>2.57</v>
      </c>
      <c r="J275" s="1">
        <v>2.81</v>
      </c>
      <c r="K275" s="6">
        <f>+H275-J275</f>
        <v>0.12999999999999989</v>
      </c>
      <c r="L275" s="7" t="str">
        <f>IF(F275-G275&gt;0,"Win","Loss")</f>
        <v>Win</v>
      </c>
      <c r="M275" s="14">
        <f t="shared" si="8"/>
        <v>97</v>
      </c>
      <c r="N275" s="14">
        <f t="shared" si="9"/>
        <v>50</v>
      </c>
    </row>
    <row r="276" spans="1:14" ht="12.75" x14ac:dyDescent="0.2">
      <c r="A276" s="1" t="s">
        <v>1024</v>
      </c>
      <c r="B276" s="3" t="s">
        <v>1025</v>
      </c>
      <c r="C276" s="4">
        <v>43355</v>
      </c>
      <c r="D276" s="2">
        <v>0.5625</v>
      </c>
      <c r="E276" s="1" t="s">
        <v>803</v>
      </c>
      <c r="F276" s="5">
        <v>1</v>
      </c>
      <c r="G276" s="5">
        <v>1</v>
      </c>
      <c r="H276" s="1">
        <v>3.37</v>
      </c>
      <c r="I276" s="1">
        <v>2.61</v>
      </c>
      <c r="J276" s="1">
        <v>2.5299999999999998</v>
      </c>
      <c r="K276" s="6">
        <f>+H276-J276</f>
        <v>0.8400000000000003</v>
      </c>
      <c r="L276" s="7" t="str">
        <f>IF(F276-G276&gt;0,"Win","Loss")</f>
        <v>Loss</v>
      </c>
      <c r="M276" s="14">
        <f t="shared" si="8"/>
        <v>-50</v>
      </c>
      <c r="N276" s="14">
        <f t="shared" si="9"/>
        <v>50</v>
      </c>
    </row>
    <row r="277" spans="1:14" ht="12.75" x14ac:dyDescent="0.2">
      <c r="A277" s="1" t="s">
        <v>1024</v>
      </c>
      <c r="B277" s="3" t="s">
        <v>1025</v>
      </c>
      <c r="C277" s="4">
        <v>43356</v>
      </c>
      <c r="D277" s="2">
        <v>0.79166666666666663</v>
      </c>
      <c r="E277" s="1" t="s">
        <v>797</v>
      </c>
      <c r="F277" s="5">
        <v>3</v>
      </c>
      <c r="G277" s="5">
        <v>0</v>
      </c>
      <c r="H277" s="1">
        <v>1.32</v>
      </c>
      <c r="I277" s="1">
        <v>4.5199999999999996</v>
      </c>
      <c r="J277" s="1">
        <v>9.67</v>
      </c>
      <c r="K277" s="6">
        <f>+H277-J277</f>
        <v>-8.35</v>
      </c>
      <c r="L277" s="7" t="str">
        <f>IF(F277-G277&gt;0,"Win","Loss")</f>
        <v>Win</v>
      </c>
      <c r="M277" s="14">
        <f t="shared" si="8"/>
        <v>16</v>
      </c>
      <c r="N277" s="14">
        <f t="shared" si="9"/>
        <v>50</v>
      </c>
    </row>
    <row r="278" spans="1:14" ht="12.75" x14ac:dyDescent="0.2">
      <c r="A278" s="1" t="s">
        <v>1024</v>
      </c>
      <c r="B278" s="3" t="s">
        <v>1025</v>
      </c>
      <c r="C278" s="4">
        <v>43356</v>
      </c>
      <c r="D278" s="2">
        <v>0.66666666666666663</v>
      </c>
      <c r="E278" s="1" t="s">
        <v>798</v>
      </c>
      <c r="F278" s="5">
        <v>3</v>
      </c>
      <c r="G278" s="5">
        <v>2</v>
      </c>
      <c r="H278" s="1">
        <v>2.14</v>
      </c>
      <c r="I278" s="1">
        <v>2.78</v>
      </c>
      <c r="J278" s="1">
        <v>3.9</v>
      </c>
      <c r="K278" s="6">
        <f>+H278-J278</f>
        <v>-1.7599999999999998</v>
      </c>
      <c r="L278" s="7" t="str">
        <f>IF(F278-G278&gt;0,"Win","Loss")</f>
        <v>Win</v>
      </c>
      <c r="M278" s="14">
        <f t="shared" si="8"/>
        <v>57</v>
      </c>
      <c r="N278" s="14">
        <f t="shared" si="9"/>
        <v>50</v>
      </c>
    </row>
    <row r="279" spans="1:14" ht="12.75" x14ac:dyDescent="0.2">
      <c r="A279" s="1" t="s">
        <v>1018</v>
      </c>
      <c r="B279" s="3" t="s">
        <v>1019</v>
      </c>
      <c r="C279" s="4">
        <v>43357</v>
      </c>
      <c r="D279" s="2">
        <v>0.66666666666666663</v>
      </c>
      <c r="E279" s="1" t="s">
        <v>664</v>
      </c>
      <c r="F279" s="5">
        <v>1</v>
      </c>
      <c r="G279" s="5">
        <v>1</v>
      </c>
      <c r="H279" s="1">
        <v>2</v>
      </c>
      <c r="I279" s="1">
        <v>3.37</v>
      </c>
      <c r="J279" s="1">
        <v>3.3</v>
      </c>
      <c r="K279" s="6">
        <f>+H279-J279</f>
        <v>-1.2999999999999998</v>
      </c>
      <c r="L279" s="7" t="str">
        <f>IF(F279-G279&gt;0,"Win","Loss")</f>
        <v>Loss</v>
      </c>
      <c r="M279" s="14">
        <f t="shared" si="8"/>
        <v>-50</v>
      </c>
      <c r="N279" s="14">
        <f t="shared" si="9"/>
        <v>50</v>
      </c>
    </row>
    <row r="280" spans="1:14" ht="12.75" x14ac:dyDescent="0.2">
      <c r="A280" s="1" t="s">
        <v>1018</v>
      </c>
      <c r="B280" s="3" t="s">
        <v>1019</v>
      </c>
      <c r="C280" s="4">
        <v>43357</v>
      </c>
      <c r="D280" s="2">
        <v>0.66666666666666663</v>
      </c>
      <c r="E280" s="1" t="s">
        <v>665</v>
      </c>
      <c r="F280" s="5">
        <v>0</v>
      </c>
      <c r="G280" s="5">
        <v>0</v>
      </c>
      <c r="H280" s="1">
        <v>2.19</v>
      </c>
      <c r="I280" s="1">
        <v>3.16</v>
      </c>
      <c r="J280" s="1">
        <v>3.06</v>
      </c>
      <c r="K280" s="6">
        <f>+H280-J280</f>
        <v>-0.87000000000000011</v>
      </c>
      <c r="L280" s="7" t="str">
        <f>IF(F280-G280&gt;0,"Win","Loss")</f>
        <v>Loss</v>
      </c>
      <c r="M280" s="14">
        <f t="shared" si="8"/>
        <v>-50</v>
      </c>
      <c r="N280" s="14">
        <f t="shared" si="9"/>
        <v>50</v>
      </c>
    </row>
    <row r="281" spans="1:14" ht="12.75" x14ac:dyDescent="0.2">
      <c r="A281" s="1" t="s">
        <v>1018</v>
      </c>
      <c r="B281" s="3" t="s">
        <v>1019</v>
      </c>
      <c r="C281" s="4">
        <v>43357</v>
      </c>
      <c r="D281" s="2">
        <v>0.58333333333333337</v>
      </c>
      <c r="E281" s="1" t="s">
        <v>666</v>
      </c>
      <c r="F281" s="5">
        <v>1</v>
      </c>
      <c r="G281" s="5">
        <v>1</v>
      </c>
      <c r="H281" s="1">
        <v>2.5499999999999998</v>
      </c>
      <c r="I281" s="1">
        <v>3.18</v>
      </c>
      <c r="J281" s="1">
        <v>2.58</v>
      </c>
      <c r="K281" s="6">
        <f>+H281-J281</f>
        <v>-3.0000000000000249E-2</v>
      </c>
      <c r="L281" s="7" t="str">
        <f>IF(F281-G281&gt;0,"Win","Loss")</f>
        <v>Loss</v>
      </c>
      <c r="M281" s="14">
        <f t="shared" si="8"/>
        <v>-50</v>
      </c>
      <c r="N281" s="14">
        <f t="shared" si="9"/>
        <v>50</v>
      </c>
    </row>
    <row r="282" spans="1:14" ht="12.75" x14ac:dyDescent="0.2">
      <c r="A282" s="1" t="s">
        <v>1006</v>
      </c>
      <c r="B282" s="3" t="s">
        <v>1007</v>
      </c>
      <c r="C282" s="4">
        <v>43358</v>
      </c>
      <c r="D282" s="2">
        <v>0.625</v>
      </c>
      <c r="E282" s="1" t="s">
        <v>377</v>
      </c>
      <c r="F282" s="5">
        <v>2</v>
      </c>
      <c r="G282" s="5">
        <v>3</v>
      </c>
      <c r="H282" s="1">
        <v>4.25</v>
      </c>
      <c r="I282" s="1">
        <v>3.84</v>
      </c>
      <c r="J282" s="1">
        <v>1.8</v>
      </c>
      <c r="K282" s="6">
        <f>+H282-J282</f>
        <v>2.4500000000000002</v>
      </c>
      <c r="L282" s="7" t="str">
        <f>IF(F282-G282&gt;0,"Win","Loss")</f>
        <v>Loss</v>
      </c>
      <c r="M282" s="14">
        <f t="shared" si="8"/>
        <v>-50</v>
      </c>
      <c r="N282" s="14">
        <f t="shared" si="9"/>
        <v>50</v>
      </c>
    </row>
    <row r="283" spans="1:14" ht="12.75" x14ac:dyDescent="0.2">
      <c r="A283" s="1" t="s">
        <v>1006</v>
      </c>
      <c r="B283" s="3" t="s">
        <v>1007</v>
      </c>
      <c r="C283" s="4">
        <v>43358</v>
      </c>
      <c r="D283" s="2">
        <v>0.625</v>
      </c>
      <c r="E283" s="1" t="s">
        <v>378</v>
      </c>
      <c r="F283" s="5">
        <v>2</v>
      </c>
      <c r="G283" s="5">
        <v>1</v>
      </c>
      <c r="H283" s="1">
        <v>2.25</v>
      </c>
      <c r="I283" s="1">
        <v>3.54</v>
      </c>
      <c r="J283" s="1">
        <v>3.07</v>
      </c>
      <c r="K283" s="6">
        <f>+H283-J283</f>
        <v>-0.81999999999999984</v>
      </c>
      <c r="L283" s="7" t="str">
        <f>IF(F283-G283&gt;0,"Win","Loss")</f>
        <v>Win</v>
      </c>
      <c r="M283" s="14">
        <f t="shared" si="8"/>
        <v>62.5</v>
      </c>
      <c r="N283" s="14">
        <f t="shared" si="9"/>
        <v>50</v>
      </c>
    </row>
    <row r="284" spans="1:14" ht="12.75" x14ac:dyDescent="0.2">
      <c r="A284" s="1" t="s">
        <v>1006</v>
      </c>
      <c r="B284" s="3" t="s">
        <v>1007</v>
      </c>
      <c r="C284" s="4">
        <v>43358</v>
      </c>
      <c r="D284" s="2">
        <v>0.625</v>
      </c>
      <c r="E284" s="1" t="s">
        <v>379</v>
      </c>
      <c r="F284" s="5">
        <v>1</v>
      </c>
      <c r="G284" s="5">
        <v>3</v>
      </c>
      <c r="H284" s="1">
        <v>9.44</v>
      </c>
      <c r="I284" s="1">
        <v>5.21</v>
      </c>
      <c r="J284" s="1">
        <v>1.33</v>
      </c>
      <c r="K284" s="6">
        <f>+H284-J284</f>
        <v>8.11</v>
      </c>
      <c r="L284" s="7" t="str">
        <f>IF(F284-G284&gt;0,"Win","Loss")</f>
        <v>Loss</v>
      </c>
      <c r="M284" s="14">
        <f t="shared" si="8"/>
        <v>-50</v>
      </c>
      <c r="N284" s="14">
        <f t="shared" si="9"/>
        <v>50</v>
      </c>
    </row>
    <row r="285" spans="1:14" ht="12.75" x14ac:dyDescent="0.2">
      <c r="A285" s="1" t="s">
        <v>1018</v>
      </c>
      <c r="B285" s="3" t="s">
        <v>1019</v>
      </c>
      <c r="C285" s="4">
        <v>43358</v>
      </c>
      <c r="D285" s="2">
        <v>0.70833333333333337</v>
      </c>
      <c r="E285" s="1" t="s">
        <v>661</v>
      </c>
      <c r="F285" s="5">
        <v>4</v>
      </c>
      <c r="G285" s="5">
        <v>2</v>
      </c>
      <c r="H285" s="1">
        <v>1.36</v>
      </c>
      <c r="I285" s="1">
        <v>4.2</v>
      </c>
      <c r="J285" s="1">
        <v>7.27</v>
      </c>
      <c r="K285" s="6">
        <f>+H285-J285</f>
        <v>-5.9099999999999993</v>
      </c>
      <c r="L285" s="7" t="str">
        <f>IF(F285-G285&gt;0,"Win","Loss")</f>
        <v>Win</v>
      </c>
      <c r="M285" s="14">
        <f t="shared" si="8"/>
        <v>18</v>
      </c>
      <c r="N285" s="14">
        <f t="shared" si="9"/>
        <v>50</v>
      </c>
    </row>
    <row r="286" spans="1:14" ht="12.75" x14ac:dyDescent="0.2">
      <c r="A286" s="1" t="s">
        <v>1018</v>
      </c>
      <c r="B286" s="3" t="s">
        <v>1019</v>
      </c>
      <c r="C286" s="4">
        <v>43358</v>
      </c>
      <c r="D286" s="2">
        <v>0.60416666666666663</v>
      </c>
      <c r="E286" s="1" t="s">
        <v>662</v>
      </c>
      <c r="F286" s="5">
        <v>1</v>
      </c>
      <c r="G286" s="5">
        <v>0</v>
      </c>
      <c r="H286" s="1">
        <v>2.12</v>
      </c>
      <c r="I286" s="1">
        <v>3.24</v>
      </c>
      <c r="J286" s="1">
        <v>3</v>
      </c>
      <c r="K286" s="6">
        <f>+H286-J286</f>
        <v>-0.87999999999999989</v>
      </c>
      <c r="L286" s="7" t="str">
        <f>IF(F286-G286&gt;0,"Win","Loss")</f>
        <v>Win</v>
      </c>
      <c r="M286" s="14">
        <f t="shared" si="8"/>
        <v>56</v>
      </c>
      <c r="N286" s="14">
        <f t="shared" si="9"/>
        <v>50</v>
      </c>
    </row>
    <row r="287" spans="1:14" ht="12.75" x14ac:dyDescent="0.2">
      <c r="A287" s="1" t="s">
        <v>1018</v>
      </c>
      <c r="B287" s="3" t="s">
        <v>1019</v>
      </c>
      <c r="C287" s="4">
        <v>43358</v>
      </c>
      <c r="D287" s="2">
        <v>0.60416666666666663</v>
      </c>
      <c r="E287" s="1" t="s">
        <v>663</v>
      </c>
      <c r="F287" s="5">
        <v>1</v>
      </c>
      <c r="G287" s="5">
        <v>0</v>
      </c>
      <c r="H287" s="1">
        <v>2.0099999999999998</v>
      </c>
      <c r="I287" s="1">
        <v>3.19</v>
      </c>
      <c r="J287" s="1">
        <v>3.21</v>
      </c>
      <c r="K287" s="6">
        <f>+H287-J287</f>
        <v>-1.2000000000000002</v>
      </c>
      <c r="L287" s="7" t="str">
        <f>IF(F287-G287&gt;0,"Win","Loss")</f>
        <v>Win</v>
      </c>
      <c r="M287" s="14">
        <f t="shared" si="8"/>
        <v>50.499999999999986</v>
      </c>
      <c r="N287" s="14">
        <f t="shared" si="9"/>
        <v>50</v>
      </c>
    </row>
    <row r="288" spans="1:14" ht="12.75" x14ac:dyDescent="0.2">
      <c r="A288" s="1" t="s">
        <v>1022</v>
      </c>
      <c r="B288" s="3" t="s">
        <v>1023</v>
      </c>
      <c r="C288" s="4">
        <v>43358</v>
      </c>
      <c r="D288" s="2">
        <v>0.54166666666666663</v>
      </c>
      <c r="E288" s="1" t="s">
        <v>739</v>
      </c>
      <c r="F288" s="5">
        <v>1</v>
      </c>
      <c r="G288" s="5">
        <v>1</v>
      </c>
      <c r="H288" s="1">
        <v>2.2799999999999998</v>
      </c>
      <c r="I288" s="1">
        <v>3.45</v>
      </c>
      <c r="J288" s="1">
        <v>2.67</v>
      </c>
      <c r="K288" s="6">
        <f>+H288-J288</f>
        <v>-0.39000000000000012</v>
      </c>
      <c r="L288" s="7" t="str">
        <f>IF(F288-G288&gt;0,"Win","Loss")</f>
        <v>Loss</v>
      </c>
      <c r="M288" s="14">
        <f t="shared" si="8"/>
        <v>-50</v>
      </c>
      <c r="N288" s="14">
        <f t="shared" si="9"/>
        <v>50</v>
      </c>
    </row>
    <row r="289" spans="1:14" ht="12.75" x14ac:dyDescent="0.2">
      <c r="A289" s="1" t="s">
        <v>1022</v>
      </c>
      <c r="B289" s="3" t="s">
        <v>1023</v>
      </c>
      <c r="C289" s="4">
        <v>43358</v>
      </c>
      <c r="D289" s="2">
        <v>0.54166666666666663</v>
      </c>
      <c r="E289" s="1" t="s">
        <v>740</v>
      </c>
      <c r="F289" s="5">
        <v>1</v>
      </c>
      <c r="G289" s="5">
        <v>2</v>
      </c>
      <c r="H289" s="1">
        <v>2.54</v>
      </c>
      <c r="I289" s="1">
        <v>3.33</v>
      </c>
      <c r="J289" s="1">
        <v>2.46</v>
      </c>
      <c r="K289" s="6">
        <f>+H289-J289</f>
        <v>8.0000000000000071E-2</v>
      </c>
      <c r="L289" s="7" t="str">
        <f>IF(F289-G289&gt;0,"Win","Loss")</f>
        <v>Loss</v>
      </c>
      <c r="M289" s="14">
        <f t="shared" si="8"/>
        <v>-50</v>
      </c>
      <c r="N289" s="14">
        <f t="shared" si="9"/>
        <v>50</v>
      </c>
    </row>
    <row r="290" spans="1:14" ht="12.75" x14ac:dyDescent="0.2">
      <c r="A290" s="1" t="s">
        <v>1022</v>
      </c>
      <c r="B290" s="3" t="s">
        <v>1023</v>
      </c>
      <c r="C290" s="4">
        <v>43358</v>
      </c>
      <c r="D290" s="2">
        <v>0.5</v>
      </c>
      <c r="E290" s="1" t="s">
        <v>741</v>
      </c>
      <c r="F290" s="5">
        <v>0</v>
      </c>
      <c r="G290" s="5">
        <v>1</v>
      </c>
      <c r="H290" s="1">
        <v>2.65</v>
      </c>
      <c r="I290" s="1">
        <v>3.46</v>
      </c>
      <c r="J290" s="1">
        <v>2.34</v>
      </c>
      <c r="K290" s="6">
        <f>+H290-J290</f>
        <v>0.31000000000000005</v>
      </c>
      <c r="L290" s="7" t="str">
        <f>IF(F290-G290&gt;0,"Win","Loss")</f>
        <v>Loss</v>
      </c>
      <c r="M290" s="14">
        <f t="shared" si="8"/>
        <v>-50</v>
      </c>
      <c r="N290" s="14">
        <f t="shared" si="9"/>
        <v>50</v>
      </c>
    </row>
    <row r="291" spans="1:14" ht="12.75" x14ac:dyDescent="0.2">
      <c r="A291" s="1" t="s">
        <v>1022</v>
      </c>
      <c r="B291" s="3" t="s">
        <v>1023</v>
      </c>
      <c r="C291" s="4">
        <v>43358</v>
      </c>
      <c r="D291" s="2">
        <v>0.5</v>
      </c>
      <c r="E291" s="1" t="s">
        <v>742</v>
      </c>
      <c r="F291" s="5">
        <v>3</v>
      </c>
      <c r="G291" s="5">
        <v>0</v>
      </c>
      <c r="H291" s="1">
        <v>1.36</v>
      </c>
      <c r="I291" s="1">
        <v>4.9000000000000004</v>
      </c>
      <c r="J291" s="1">
        <v>6.39</v>
      </c>
      <c r="K291" s="6">
        <f>+H291-J291</f>
        <v>-5.0299999999999994</v>
      </c>
      <c r="L291" s="7" t="str">
        <f>IF(F291-G291&gt;0,"Win","Loss")</f>
        <v>Win</v>
      </c>
      <c r="M291" s="14">
        <f t="shared" si="8"/>
        <v>18</v>
      </c>
      <c r="N291" s="14">
        <f t="shared" si="9"/>
        <v>50</v>
      </c>
    </row>
    <row r="292" spans="1:14" ht="12.75" x14ac:dyDescent="0.2">
      <c r="A292" s="1" t="s">
        <v>1022</v>
      </c>
      <c r="B292" s="3" t="s">
        <v>1023</v>
      </c>
      <c r="C292" s="4">
        <v>43358</v>
      </c>
      <c r="D292" s="2">
        <v>0.45833333333333331</v>
      </c>
      <c r="E292" s="1" t="s">
        <v>743</v>
      </c>
      <c r="F292" s="5">
        <v>1</v>
      </c>
      <c r="G292" s="5">
        <v>1</v>
      </c>
      <c r="H292" s="1">
        <v>1.63</v>
      </c>
      <c r="I292" s="1">
        <v>4.03</v>
      </c>
      <c r="J292" s="1">
        <v>4.29</v>
      </c>
      <c r="K292" s="6">
        <f>+H292-J292</f>
        <v>-2.66</v>
      </c>
      <c r="L292" s="7" t="str">
        <f>IF(F292-G292&gt;0,"Win","Loss")</f>
        <v>Loss</v>
      </c>
      <c r="M292" s="14">
        <f t="shared" si="8"/>
        <v>-50</v>
      </c>
      <c r="N292" s="14">
        <f t="shared" si="9"/>
        <v>50</v>
      </c>
    </row>
    <row r="293" spans="1:14" ht="12.75" x14ac:dyDescent="0.2">
      <c r="A293" s="1" t="s">
        <v>1006</v>
      </c>
      <c r="B293" s="3" t="s">
        <v>1007</v>
      </c>
      <c r="C293" s="4">
        <v>43359</v>
      </c>
      <c r="D293" s="2">
        <v>0.625</v>
      </c>
      <c r="E293" s="1" t="s">
        <v>374</v>
      </c>
      <c r="F293" s="5">
        <v>0</v>
      </c>
      <c r="G293" s="5">
        <v>1</v>
      </c>
      <c r="H293" s="1">
        <v>2.0099999999999998</v>
      </c>
      <c r="I293" s="1">
        <v>3.6</v>
      </c>
      <c r="J293" s="1">
        <v>3.66</v>
      </c>
      <c r="K293" s="6">
        <f>+H293-J293</f>
        <v>-1.6500000000000004</v>
      </c>
      <c r="L293" s="7" t="str">
        <f>IF(F293-G293&gt;0,"Win","Loss")</f>
        <v>Loss</v>
      </c>
      <c r="M293" s="14">
        <f t="shared" si="8"/>
        <v>-50</v>
      </c>
      <c r="N293" s="14">
        <f t="shared" si="9"/>
        <v>50</v>
      </c>
    </row>
    <row r="294" spans="1:14" ht="12.75" x14ac:dyDescent="0.2">
      <c r="A294" s="1" t="s">
        <v>1006</v>
      </c>
      <c r="B294" s="3" t="s">
        <v>1007</v>
      </c>
      <c r="C294" s="4">
        <v>43359</v>
      </c>
      <c r="D294" s="2">
        <v>0.52083333333333337</v>
      </c>
      <c r="E294" s="1" t="s">
        <v>375</v>
      </c>
      <c r="F294" s="5">
        <v>3</v>
      </c>
      <c r="G294" s="5">
        <v>1</v>
      </c>
      <c r="H294" s="1">
        <v>1.89</v>
      </c>
      <c r="I294" s="1">
        <v>3.56</v>
      </c>
      <c r="J294" s="1">
        <v>4.17</v>
      </c>
      <c r="K294" s="6">
        <f>+H294-J294</f>
        <v>-2.2800000000000002</v>
      </c>
      <c r="L294" s="7" t="str">
        <f>IF(F294-G294&gt;0,"Win","Loss")</f>
        <v>Win</v>
      </c>
      <c r="M294" s="14">
        <f t="shared" si="8"/>
        <v>44.5</v>
      </c>
      <c r="N294" s="14">
        <f t="shared" si="9"/>
        <v>50</v>
      </c>
    </row>
    <row r="295" spans="1:14" ht="12.75" x14ac:dyDescent="0.2">
      <c r="A295" s="1" t="s">
        <v>1006</v>
      </c>
      <c r="B295" s="3" t="s">
        <v>1007</v>
      </c>
      <c r="C295" s="4">
        <v>43359</v>
      </c>
      <c r="D295" s="2">
        <v>0.52083333333333337</v>
      </c>
      <c r="E295" s="1" t="s">
        <v>376</v>
      </c>
      <c r="F295" s="5">
        <v>1</v>
      </c>
      <c r="G295" s="5">
        <v>3</v>
      </c>
      <c r="H295" s="1">
        <v>3.26</v>
      </c>
      <c r="I295" s="1">
        <v>3.3</v>
      </c>
      <c r="J295" s="1">
        <v>2.27</v>
      </c>
      <c r="K295" s="6">
        <f>+H295-J295</f>
        <v>0.98999999999999977</v>
      </c>
      <c r="L295" s="7" t="str">
        <f>IF(F295-G295&gt;0,"Win","Loss")</f>
        <v>Loss</v>
      </c>
      <c r="M295" s="14">
        <f t="shared" si="8"/>
        <v>-50</v>
      </c>
      <c r="N295" s="14">
        <f t="shared" si="9"/>
        <v>50</v>
      </c>
    </row>
    <row r="296" spans="1:14" ht="12.75" x14ac:dyDescent="0.2">
      <c r="A296" s="1" t="s">
        <v>1016</v>
      </c>
      <c r="B296" s="3" t="s">
        <v>1017</v>
      </c>
      <c r="C296" s="4">
        <v>43359</v>
      </c>
      <c r="D296" s="2">
        <v>0.77083333333333337</v>
      </c>
      <c r="E296" s="1" t="s">
        <v>579</v>
      </c>
      <c r="F296" s="5">
        <v>3</v>
      </c>
      <c r="G296" s="5">
        <v>3</v>
      </c>
      <c r="H296" s="1">
        <v>2.12</v>
      </c>
      <c r="I296" s="1">
        <v>3.13</v>
      </c>
      <c r="J296" s="1">
        <v>3.4</v>
      </c>
      <c r="K296" s="6">
        <f>+H296-J296</f>
        <v>-1.2799999999999998</v>
      </c>
      <c r="L296" s="7" t="str">
        <f>IF(F296-G296&gt;0,"Win","Loss")</f>
        <v>Loss</v>
      </c>
      <c r="M296" s="14">
        <f t="shared" si="8"/>
        <v>-50</v>
      </c>
      <c r="N296" s="14">
        <f t="shared" si="9"/>
        <v>50</v>
      </c>
    </row>
    <row r="297" spans="1:14" ht="12.75" x14ac:dyDescent="0.2">
      <c r="A297" s="1" t="s">
        <v>1018</v>
      </c>
      <c r="B297" s="3" t="s">
        <v>1019</v>
      </c>
      <c r="C297" s="4">
        <v>43359</v>
      </c>
      <c r="D297" s="2">
        <v>0.60416666666666663</v>
      </c>
      <c r="E297" s="1" t="s">
        <v>660</v>
      </c>
      <c r="F297" s="5">
        <v>3</v>
      </c>
      <c r="G297" s="5">
        <v>0</v>
      </c>
      <c r="H297" s="1">
        <v>1.61</v>
      </c>
      <c r="I297" s="1">
        <v>3.97</v>
      </c>
      <c r="J297" s="1">
        <v>4.42</v>
      </c>
      <c r="K297" s="6">
        <f>+H297-J297</f>
        <v>-2.8099999999999996</v>
      </c>
      <c r="L297" s="7" t="str">
        <f>IF(F297-G297&gt;0,"Win","Loss")</f>
        <v>Win</v>
      </c>
      <c r="M297" s="14">
        <f t="shared" si="8"/>
        <v>30.5</v>
      </c>
      <c r="N297" s="14">
        <f t="shared" si="9"/>
        <v>50</v>
      </c>
    </row>
    <row r="298" spans="1:14" ht="12.75" x14ac:dyDescent="0.2">
      <c r="A298" s="1" t="s">
        <v>1022</v>
      </c>
      <c r="B298" s="3" t="s">
        <v>1023</v>
      </c>
      <c r="C298" s="4">
        <v>43359</v>
      </c>
      <c r="D298" s="2">
        <v>0.45833333333333331</v>
      </c>
      <c r="E298" s="1" t="s">
        <v>738</v>
      </c>
      <c r="F298" s="5">
        <v>0</v>
      </c>
      <c r="G298" s="5">
        <v>1</v>
      </c>
      <c r="H298" s="1">
        <v>2.9</v>
      </c>
      <c r="I298" s="1">
        <v>3.57</v>
      </c>
      <c r="J298" s="1">
        <v>2.14</v>
      </c>
      <c r="K298" s="6">
        <f>+H298-J298</f>
        <v>0.75999999999999979</v>
      </c>
      <c r="L298" s="7" t="str">
        <f>IF(F298-G298&gt;0,"Win","Loss")</f>
        <v>Loss</v>
      </c>
      <c r="M298" s="14">
        <f t="shared" si="8"/>
        <v>-50</v>
      </c>
      <c r="N298" s="14">
        <f t="shared" si="9"/>
        <v>50</v>
      </c>
    </row>
    <row r="299" spans="1:14" ht="12.75" x14ac:dyDescent="0.2">
      <c r="A299" s="1" t="s">
        <v>1024</v>
      </c>
      <c r="B299" s="3" t="s">
        <v>1025</v>
      </c>
      <c r="C299" s="4">
        <v>43360</v>
      </c>
      <c r="D299" s="2">
        <v>0.79166666666666663</v>
      </c>
      <c r="E299" s="1" t="s">
        <v>793</v>
      </c>
      <c r="F299" s="5">
        <v>0</v>
      </c>
      <c r="G299" s="5">
        <v>1</v>
      </c>
      <c r="H299" s="1">
        <v>5.2</v>
      </c>
      <c r="I299" s="1">
        <v>3.24</v>
      </c>
      <c r="J299" s="1">
        <v>1.74</v>
      </c>
      <c r="K299" s="6">
        <f>+H299-J299</f>
        <v>3.46</v>
      </c>
      <c r="L299" s="7" t="str">
        <f>IF(F299-G299&gt;0,"Win","Loss")</f>
        <v>Loss</v>
      </c>
      <c r="M299" s="14">
        <f t="shared" si="8"/>
        <v>-50</v>
      </c>
      <c r="N299" s="14">
        <f t="shared" si="9"/>
        <v>50</v>
      </c>
    </row>
    <row r="300" spans="1:14" ht="12.75" x14ac:dyDescent="0.2">
      <c r="A300" s="1" t="s">
        <v>1024</v>
      </c>
      <c r="B300" s="3" t="s">
        <v>1025</v>
      </c>
      <c r="C300" s="4">
        <v>43360</v>
      </c>
      <c r="D300" s="2">
        <v>0.79166666666666663</v>
      </c>
      <c r="E300" s="1" t="s">
        <v>794</v>
      </c>
      <c r="F300" s="5">
        <v>3</v>
      </c>
      <c r="G300" s="5">
        <v>0</v>
      </c>
      <c r="H300" s="1">
        <v>2.13</v>
      </c>
      <c r="I300" s="1">
        <v>2.87</v>
      </c>
      <c r="J300" s="1">
        <v>3.92</v>
      </c>
      <c r="K300" s="6">
        <f>+H300-J300</f>
        <v>-1.79</v>
      </c>
      <c r="L300" s="7" t="str">
        <f>IF(F300-G300&gt;0,"Win","Loss")</f>
        <v>Win</v>
      </c>
      <c r="M300" s="14">
        <f t="shared" si="8"/>
        <v>56.5</v>
      </c>
      <c r="N300" s="14">
        <f t="shared" si="9"/>
        <v>50</v>
      </c>
    </row>
    <row r="301" spans="1:14" ht="12.75" x14ac:dyDescent="0.2">
      <c r="A301" s="1" t="s">
        <v>1024</v>
      </c>
      <c r="B301" s="3" t="s">
        <v>1025</v>
      </c>
      <c r="C301" s="4">
        <v>43360</v>
      </c>
      <c r="D301" s="2">
        <v>0.66666666666666663</v>
      </c>
      <c r="E301" s="1" t="s">
        <v>795</v>
      </c>
      <c r="F301" s="5">
        <v>1</v>
      </c>
      <c r="G301" s="5">
        <v>1</v>
      </c>
      <c r="H301" s="1">
        <v>2.8</v>
      </c>
      <c r="I301" s="1">
        <v>2.73</v>
      </c>
      <c r="J301" s="1">
        <v>2.84</v>
      </c>
      <c r="K301" s="6">
        <f>+H301-J301</f>
        <v>-4.0000000000000036E-2</v>
      </c>
      <c r="L301" s="7" t="str">
        <f>IF(F301-G301&gt;0,"Win","Loss")</f>
        <v>Loss</v>
      </c>
      <c r="M301" s="14">
        <f t="shared" si="8"/>
        <v>-50</v>
      </c>
      <c r="N301" s="14">
        <f t="shared" si="9"/>
        <v>50</v>
      </c>
    </row>
    <row r="302" spans="1:14" ht="12.75" x14ac:dyDescent="0.2">
      <c r="A302" s="1" t="s">
        <v>1024</v>
      </c>
      <c r="B302" s="3" t="s">
        <v>1025</v>
      </c>
      <c r="C302" s="4">
        <v>43360</v>
      </c>
      <c r="D302" s="2">
        <v>0.66666666666666663</v>
      </c>
      <c r="E302" s="1" t="s">
        <v>796</v>
      </c>
      <c r="F302" s="5">
        <v>1</v>
      </c>
      <c r="G302" s="5">
        <v>1</v>
      </c>
      <c r="H302" s="1">
        <v>1.99</v>
      </c>
      <c r="I302" s="1">
        <v>3.09</v>
      </c>
      <c r="J302" s="1">
        <v>3.96</v>
      </c>
      <c r="K302" s="6">
        <f>+H302-J302</f>
        <v>-1.97</v>
      </c>
      <c r="L302" s="7" t="str">
        <f>IF(F302-G302&gt;0,"Win","Loss")</f>
        <v>Loss</v>
      </c>
      <c r="M302" s="14">
        <f t="shared" si="8"/>
        <v>-50</v>
      </c>
      <c r="N302" s="14">
        <f t="shared" si="9"/>
        <v>50</v>
      </c>
    </row>
    <row r="303" spans="1:14" ht="12.75" x14ac:dyDescent="0.2">
      <c r="A303" s="1" t="s">
        <v>1024</v>
      </c>
      <c r="B303" s="3" t="s">
        <v>1025</v>
      </c>
      <c r="C303" s="4">
        <v>43361</v>
      </c>
      <c r="D303" s="2">
        <v>0.66666666666666663</v>
      </c>
      <c r="E303" s="1" t="s">
        <v>791</v>
      </c>
      <c r="F303" s="5">
        <v>1</v>
      </c>
      <c r="G303" s="5">
        <v>1</v>
      </c>
      <c r="H303" s="1">
        <v>3.09</v>
      </c>
      <c r="I303" s="1">
        <v>2.82</v>
      </c>
      <c r="J303" s="1">
        <v>2.48</v>
      </c>
      <c r="K303" s="6">
        <f>+H303-J303</f>
        <v>0.60999999999999988</v>
      </c>
      <c r="L303" s="7" t="str">
        <f>IF(F303-G303&gt;0,"Win","Loss")</f>
        <v>Loss</v>
      </c>
      <c r="M303" s="14">
        <f t="shared" si="8"/>
        <v>-50</v>
      </c>
      <c r="N303" s="14">
        <f t="shared" si="9"/>
        <v>50</v>
      </c>
    </row>
    <row r="304" spans="1:14" ht="12.75" x14ac:dyDescent="0.2">
      <c r="A304" s="1" t="s">
        <v>1024</v>
      </c>
      <c r="B304" s="3" t="s">
        <v>1025</v>
      </c>
      <c r="C304" s="4">
        <v>43361</v>
      </c>
      <c r="D304" s="2">
        <v>0.5625</v>
      </c>
      <c r="E304" s="1" t="s">
        <v>792</v>
      </c>
      <c r="F304" s="5">
        <v>3</v>
      </c>
      <c r="G304" s="5">
        <v>0</v>
      </c>
      <c r="H304" s="1">
        <v>4.74</v>
      </c>
      <c r="I304" s="1">
        <v>2.92</v>
      </c>
      <c r="J304" s="1">
        <v>1.91</v>
      </c>
      <c r="K304" s="6">
        <f>+H304-J304</f>
        <v>2.83</v>
      </c>
      <c r="L304" s="7" t="str">
        <f>IF(F304-G304&gt;0,"Win","Loss")</f>
        <v>Win</v>
      </c>
      <c r="M304" s="14">
        <f t="shared" si="8"/>
        <v>187</v>
      </c>
      <c r="N304" s="14">
        <f t="shared" si="9"/>
        <v>50</v>
      </c>
    </row>
    <row r="305" spans="1:14" ht="12.75" x14ac:dyDescent="0.2">
      <c r="A305" s="1" t="s">
        <v>1022</v>
      </c>
      <c r="B305" s="3" t="s">
        <v>1023</v>
      </c>
      <c r="C305" s="4">
        <v>43362</v>
      </c>
      <c r="D305" s="2">
        <v>0.70833333333333337</v>
      </c>
      <c r="E305" s="1" t="s">
        <v>737</v>
      </c>
      <c r="F305" s="5">
        <v>2</v>
      </c>
      <c r="G305" s="5">
        <v>0</v>
      </c>
      <c r="H305" s="1">
        <v>1.87</v>
      </c>
      <c r="I305" s="1">
        <v>3.64</v>
      </c>
      <c r="J305" s="1">
        <v>3.43</v>
      </c>
      <c r="K305" s="6">
        <f>+H305-J305</f>
        <v>-1.56</v>
      </c>
      <c r="L305" s="7" t="str">
        <f>IF(F305-G305&gt;0,"Win","Loss")</f>
        <v>Win</v>
      </c>
      <c r="M305" s="14">
        <f t="shared" si="8"/>
        <v>43.5</v>
      </c>
      <c r="N305" s="14">
        <f t="shared" si="9"/>
        <v>50</v>
      </c>
    </row>
    <row r="306" spans="1:14" ht="12.75" x14ac:dyDescent="0.2">
      <c r="A306" s="1" t="s">
        <v>1024</v>
      </c>
      <c r="B306" s="3" t="s">
        <v>1025</v>
      </c>
      <c r="C306" s="4">
        <v>43362</v>
      </c>
      <c r="D306" s="2">
        <v>0.79166666666666663</v>
      </c>
      <c r="E306" s="1" t="s">
        <v>790</v>
      </c>
      <c r="F306" s="5">
        <v>0</v>
      </c>
      <c r="G306" s="5">
        <v>1</v>
      </c>
      <c r="H306" s="1">
        <v>2.65</v>
      </c>
      <c r="I306" s="1">
        <v>2.87</v>
      </c>
      <c r="J306" s="1">
        <v>2.85</v>
      </c>
      <c r="K306" s="6">
        <f>+H306-J306</f>
        <v>-0.20000000000000018</v>
      </c>
      <c r="L306" s="7" t="str">
        <f>IF(F306-G306&gt;0,"Win","Loss")</f>
        <v>Loss</v>
      </c>
      <c r="M306" s="14">
        <f t="shared" si="8"/>
        <v>-50</v>
      </c>
      <c r="N306" s="14">
        <f t="shared" si="9"/>
        <v>50</v>
      </c>
    </row>
    <row r="307" spans="1:14" ht="12.75" x14ac:dyDescent="0.2">
      <c r="A307" s="1" t="s">
        <v>1018</v>
      </c>
      <c r="B307" s="3" t="s">
        <v>1019</v>
      </c>
      <c r="C307" s="4">
        <v>43364</v>
      </c>
      <c r="D307" s="2">
        <v>0.66666666666666663</v>
      </c>
      <c r="E307" s="1" t="s">
        <v>657</v>
      </c>
      <c r="F307" s="5">
        <v>3</v>
      </c>
      <c r="G307" s="5">
        <v>2</v>
      </c>
      <c r="H307" s="1">
        <v>1.93</v>
      </c>
      <c r="I307" s="1">
        <v>3.38</v>
      </c>
      <c r="J307" s="1">
        <v>3.49</v>
      </c>
      <c r="K307" s="6">
        <f>+H307-J307</f>
        <v>-1.5600000000000003</v>
      </c>
      <c r="L307" s="7" t="str">
        <f>IF(F307-G307&gt;0,"Win","Loss")</f>
        <v>Win</v>
      </c>
      <c r="M307" s="14">
        <f t="shared" si="8"/>
        <v>46.5</v>
      </c>
      <c r="N307" s="14">
        <f t="shared" si="9"/>
        <v>50</v>
      </c>
    </row>
    <row r="308" spans="1:14" ht="12.75" x14ac:dyDescent="0.2">
      <c r="A308" s="1" t="s">
        <v>1018</v>
      </c>
      <c r="B308" s="3" t="s">
        <v>1019</v>
      </c>
      <c r="C308" s="4">
        <v>43364</v>
      </c>
      <c r="D308" s="2">
        <v>0.60416666666666663</v>
      </c>
      <c r="E308" s="1" t="s">
        <v>658</v>
      </c>
      <c r="F308" s="5">
        <v>2</v>
      </c>
      <c r="G308" s="5">
        <v>1</v>
      </c>
      <c r="H308" s="1">
        <v>3.63</v>
      </c>
      <c r="I308" s="1">
        <v>3.48</v>
      </c>
      <c r="J308" s="1">
        <v>1.88</v>
      </c>
      <c r="K308" s="6">
        <f>+H308-J308</f>
        <v>1.75</v>
      </c>
      <c r="L308" s="7" t="str">
        <f>IF(F308-G308&gt;0,"Win","Loss")</f>
        <v>Win</v>
      </c>
      <c r="M308" s="14">
        <f t="shared" si="8"/>
        <v>131.5</v>
      </c>
      <c r="N308" s="14">
        <f t="shared" si="9"/>
        <v>50</v>
      </c>
    </row>
    <row r="309" spans="1:14" ht="12.75" x14ac:dyDescent="0.2">
      <c r="A309" s="1" t="s">
        <v>1018</v>
      </c>
      <c r="B309" s="3" t="s">
        <v>1019</v>
      </c>
      <c r="C309" s="4">
        <v>43364</v>
      </c>
      <c r="D309" s="2">
        <v>0.58333333333333337</v>
      </c>
      <c r="E309" s="1" t="s">
        <v>659</v>
      </c>
      <c r="F309" s="5">
        <v>3</v>
      </c>
      <c r="G309" s="5">
        <v>1</v>
      </c>
      <c r="H309" s="1">
        <v>1.82</v>
      </c>
      <c r="I309" s="1">
        <v>3.48</v>
      </c>
      <c r="J309" s="1">
        <v>3.8</v>
      </c>
      <c r="K309" s="6">
        <f>+H309-J309</f>
        <v>-1.9799999999999998</v>
      </c>
      <c r="L309" s="7" t="str">
        <f>IF(F309-G309&gt;0,"Win","Loss")</f>
        <v>Win</v>
      </c>
      <c r="M309" s="14">
        <f t="shared" si="8"/>
        <v>41</v>
      </c>
      <c r="N309" s="14">
        <f t="shared" si="9"/>
        <v>50</v>
      </c>
    </row>
    <row r="310" spans="1:14" ht="12.75" x14ac:dyDescent="0.2">
      <c r="A310" s="1" t="s">
        <v>1024</v>
      </c>
      <c r="B310" s="3" t="s">
        <v>1025</v>
      </c>
      <c r="C310" s="4">
        <v>43364</v>
      </c>
      <c r="D310" s="2">
        <v>0.66666666666666663</v>
      </c>
      <c r="E310" s="1" t="s">
        <v>788</v>
      </c>
      <c r="F310" s="5">
        <v>1</v>
      </c>
      <c r="G310" s="5">
        <v>2</v>
      </c>
      <c r="H310" s="1">
        <v>2.87</v>
      </c>
      <c r="I310" s="1">
        <v>2.9</v>
      </c>
      <c r="J310" s="1">
        <v>2.5499999999999998</v>
      </c>
      <c r="K310" s="6">
        <f>+H310-J310</f>
        <v>0.32000000000000028</v>
      </c>
      <c r="L310" s="7" t="str">
        <f>IF(F310-G310&gt;0,"Win","Loss")</f>
        <v>Loss</v>
      </c>
      <c r="M310" s="14">
        <f t="shared" si="8"/>
        <v>-50</v>
      </c>
      <c r="N310" s="14">
        <f t="shared" si="9"/>
        <v>50</v>
      </c>
    </row>
    <row r="311" spans="1:14" ht="12.75" x14ac:dyDescent="0.2">
      <c r="A311" s="1" t="s">
        <v>1024</v>
      </c>
      <c r="B311" s="3" t="s">
        <v>1025</v>
      </c>
      <c r="C311" s="4">
        <v>43364</v>
      </c>
      <c r="D311" s="2">
        <v>0.5625</v>
      </c>
      <c r="E311" s="1" t="s">
        <v>789</v>
      </c>
      <c r="F311" s="5">
        <v>3</v>
      </c>
      <c r="G311" s="5">
        <v>0</v>
      </c>
      <c r="H311" s="1">
        <v>2.94</v>
      </c>
      <c r="I311" s="1">
        <v>2.87</v>
      </c>
      <c r="J311" s="1">
        <v>2.58</v>
      </c>
      <c r="K311" s="6">
        <f>+H311-J311</f>
        <v>0.35999999999999988</v>
      </c>
      <c r="L311" s="7" t="str">
        <f>IF(F311-G311&gt;0,"Win","Loss")</f>
        <v>Win</v>
      </c>
      <c r="M311" s="14">
        <f t="shared" si="8"/>
        <v>97</v>
      </c>
      <c r="N311" s="14">
        <f t="shared" si="9"/>
        <v>50</v>
      </c>
    </row>
    <row r="312" spans="1:14" ht="12.75" x14ac:dyDescent="0.2">
      <c r="A312" s="1" t="s">
        <v>1006</v>
      </c>
      <c r="B312" s="3" t="s">
        <v>1007</v>
      </c>
      <c r="C312" s="4">
        <v>43365</v>
      </c>
      <c r="D312" s="2">
        <v>0.625</v>
      </c>
      <c r="E312" s="1" t="s">
        <v>371</v>
      </c>
      <c r="F312" s="5">
        <v>0</v>
      </c>
      <c r="G312" s="5">
        <v>1</v>
      </c>
      <c r="H312" s="1">
        <v>2.91</v>
      </c>
      <c r="I312" s="1">
        <v>3.28</v>
      </c>
      <c r="J312" s="1">
        <v>2.4700000000000002</v>
      </c>
      <c r="K312" s="6">
        <f>+H312-J312</f>
        <v>0.43999999999999995</v>
      </c>
      <c r="L312" s="7" t="str">
        <f>IF(F312-G312&gt;0,"Win","Loss")</f>
        <v>Loss</v>
      </c>
      <c r="M312" s="14">
        <f t="shared" si="8"/>
        <v>-50</v>
      </c>
      <c r="N312" s="14">
        <f t="shared" si="9"/>
        <v>50</v>
      </c>
    </row>
    <row r="313" spans="1:14" ht="12.75" x14ac:dyDescent="0.2">
      <c r="A313" s="1" t="s">
        <v>1006</v>
      </c>
      <c r="B313" s="3" t="s">
        <v>1007</v>
      </c>
      <c r="C313" s="4">
        <v>43365</v>
      </c>
      <c r="D313" s="2">
        <v>0.625</v>
      </c>
      <c r="E313" s="1" t="s">
        <v>372</v>
      </c>
      <c r="F313" s="5">
        <v>3</v>
      </c>
      <c r="G313" s="5">
        <v>0</v>
      </c>
      <c r="H313" s="1">
        <v>2.25</v>
      </c>
      <c r="I313" s="1">
        <v>3.54</v>
      </c>
      <c r="J313" s="1">
        <v>3.08</v>
      </c>
      <c r="K313" s="6">
        <f>+H313-J313</f>
        <v>-0.83000000000000007</v>
      </c>
      <c r="L313" s="7" t="str">
        <f>IF(F313-G313&gt;0,"Win","Loss")</f>
        <v>Win</v>
      </c>
      <c r="M313" s="14">
        <f t="shared" si="8"/>
        <v>62.5</v>
      </c>
      <c r="N313" s="14">
        <f t="shared" si="9"/>
        <v>50</v>
      </c>
    </row>
    <row r="314" spans="1:14" ht="12.75" x14ac:dyDescent="0.2">
      <c r="A314" s="1" t="s">
        <v>1006</v>
      </c>
      <c r="B314" s="3" t="s">
        <v>1007</v>
      </c>
      <c r="C314" s="4">
        <v>43365</v>
      </c>
      <c r="D314" s="2">
        <v>0.625</v>
      </c>
      <c r="E314" s="1" t="s">
        <v>373</v>
      </c>
      <c r="F314" s="5">
        <v>1</v>
      </c>
      <c r="G314" s="5">
        <v>2</v>
      </c>
      <c r="H314" s="1">
        <v>1.88</v>
      </c>
      <c r="I314" s="1">
        <v>3.52</v>
      </c>
      <c r="J314" s="1">
        <v>4.3099999999999996</v>
      </c>
      <c r="K314" s="6">
        <f>+H314-J314</f>
        <v>-2.4299999999999997</v>
      </c>
      <c r="L314" s="7" t="str">
        <f>IF(F314-G314&gt;0,"Win","Loss")</f>
        <v>Loss</v>
      </c>
      <c r="M314" s="14">
        <f t="shared" si="8"/>
        <v>-50</v>
      </c>
      <c r="N314" s="14">
        <f t="shared" si="9"/>
        <v>50</v>
      </c>
    </row>
    <row r="315" spans="1:14" ht="12.75" x14ac:dyDescent="0.2">
      <c r="A315" s="1" t="s">
        <v>1016</v>
      </c>
      <c r="B315" s="3" t="s">
        <v>1017</v>
      </c>
      <c r="C315" s="4">
        <v>43365</v>
      </c>
      <c r="D315" s="2">
        <v>0.91666666666666663</v>
      </c>
      <c r="E315" s="1" t="s">
        <v>578</v>
      </c>
      <c r="F315" s="5">
        <v>0</v>
      </c>
      <c r="G315" s="5">
        <v>1</v>
      </c>
      <c r="H315" s="1">
        <v>1.91</v>
      </c>
      <c r="I315" s="1">
        <v>3.29</v>
      </c>
      <c r="J315" s="1">
        <v>3.88</v>
      </c>
      <c r="K315" s="6">
        <f>+H315-J315</f>
        <v>-1.97</v>
      </c>
      <c r="L315" s="7" t="str">
        <f>IF(F315-G315&gt;0,"Win","Loss")</f>
        <v>Loss</v>
      </c>
      <c r="M315" s="14">
        <f t="shared" si="8"/>
        <v>-50</v>
      </c>
      <c r="N315" s="14">
        <f t="shared" si="9"/>
        <v>50</v>
      </c>
    </row>
    <row r="316" spans="1:14" ht="12.75" x14ac:dyDescent="0.2">
      <c r="A316" s="1" t="s">
        <v>1022</v>
      </c>
      <c r="B316" s="3" t="s">
        <v>1023</v>
      </c>
      <c r="C316" s="4">
        <v>43365</v>
      </c>
      <c r="D316" s="2">
        <v>0.5</v>
      </c>
      <c r="E316" s="1" t="s">
        <v>733</v>
      </c>
      <c r="F316" s="5">
        <v>2</v>
      </c>
      <c r="G316" s="5">
        <v>1</v>
      </c>
      <c r="H316" s="1">
        <v>2.33</v>
      </c>
      <c r="I316" s="1">
        <v>3.33</v>
      </c>
      <c r="J316" s="1">
        <v>2.74</v>
      </c>
      <c r="K316" s="6">
        <f>+H316-J316</f>
        <v>-0.41000000000000014</v>
      </c>
      <c r="L316" s="7" t="str">
        <f>IF(F316-G316&gt;0,"Win","Loss")</f>
        <v>Win</v>
      </c>
      <c r="M316" s="14">
        <f t="shared" si="8"/>
        <v>66.5</v>
      </c>
      <c r="N316" s="14">
        <f t="shared" si="9"/>
        <v>50</v>
      </c>
    </row>
    <row r="317" spans="1:14" ht="12.75" x14ac:dyDescent="0.2">
      <c r="A317" s="1" t="s">
        <v>1022</v>
      </c>
      <c r="B317" s="3" t="s">
        <v>1023</v>
      </c>
      <c r="C317" s="4">
        <v>43365</v>
      </c>
      <c r="D317" s="2">
        <v>0.5</v>
      </c>
      <c r="E317" s="1" t="s">
        <v>734</v>
      </c>
      <c r="F317" s="5">
        <v>0</v>
      </c>
      <c r="G317" s="5">
        <v>3</v>
      </c>
      <c r="H317" s="1">
        <v>2.39</v>
      </c>
      <c r="I317" s="1">
        <v>3.48</v>
      </c>
      <c r="J317" s="1">
        <v>2.6</v>
      </c>
      <c r="K317" s="6">
        <f>+H317-J317</f>
        <v>-0.20999999999999996</v>
      </c>
      <c r="L317" s="7" t="str">
        <f>IF(F317-G317&gt;0,"Win","Loss")</f>
        <v>Loss</v>
      </c>
      <c r="M317" s="14">
        <f t="shared" si="8"/>
        <v>-50</v>
      </c>
      <c r="N317" s="14">
        <f t="shared" si="9"/>
        <v>50</v>
      </c>
    </row>
    <row r="318" spans="1:14" ht="12.75" x14ac:dyDescent="0.2">
      <c r="A318" s="1" t="s">
        <v>1022</v>
      </c>
      <c r="B318" s="3" t="s">
        <v>1023</v>
      </c>
      <c r="C318" s="4">
        <v>43365</v>
      </c>
      <c r="D318" s="2">
        <v>0.45833333333333331</v>
      </c>
      <c r="E318" s="1" t="s">
        <v>735</v>
      </c>
      <c r="F318" s="5">
        <v>0</v>
      </c>
      <c r="G318" s="5">
        <v>1</v>
      </c>
      <c r="H318" s="1">
        <v>2.63</v>
      </c>
      <c r="I318" s="1">
        <v>3.38</v>
      </c>
      <c r="J318" s="1">
        <v>2.39</v>
      </c>
      <c r="K318" s="6">
        <f>+H318-J318</f>
        <v>0.23999999999999977</v>
      </c>
      <c r="L318" s="7" t="str">
        <f>IF(F318-G318&gt;0,"Win","Loss")</f>
        <v>Loss</v>
      </c>
      <c r="M318" s="14">
        <f t="shared" si="8"/>
        <v>-50</v>
      </c>
      <c r="N318" s="14">
        <f t="shared" si="9"/>
        <v>50</v>
      </c>
    </row>
    <row r="319" spans="1:14" ht="12.75" x14ac:dyDescent="0.2">
      <c r="A319" s="1" t="s">
        <v>1022</v>
      </c>
      <c r="B319" s="3" t="s">
        <v>1023</v>
      </c>
      <c r="C319" s="4">
        <v>43365</v>
      </c>
      <c r="D319" s="2">
        <v>0.45833333333333331</v>
      </c>
      <c r="E319" s="1" t="s">
        <v>736</v>
      </c>
      <c r="F319" s="5">
        <v>1</v>
      </c>
      <c r="G319" s="5">
        <v>3</v>
      </c>
      <c r="H319" s="1">
        <v>2.75</v>
      </c>
      <c r="I319" s="1">
        <v>3.43</v>
      </c>
      <c r="J319" s="1">
        <v>2.29</v>
      </c>
      <c r="K319" s="6">
        <f>+H319-J319</f>
        <v>0.45999999999999996</v>
      </c>
      <c r="L319" s="7" t="str">
        <f>IF(F319-G319&gt;0,"Win","Loss")</f>
        <v>Loss</v>
      </c>
      <c r="M319" s="14">
        <f t="shared" si="8"/>
        <v>-50</v>
      </c>
      <c r="N319" s="14">
        <f t="shared" si="9"/>
        <v>50</v>
      </c>
    </row>
    <row r="320" spans="1:14" ht="12.75" x14ac:dyDescent="0.2">
      <c r="A320" s="1" t="s">
        <v>1024</v>
      </c>
      <c r="B320" s="3" t="s">
        <v>1025</v>
      </c>
      <c r="C320" s="4">
        <v>43365</v>
      </c>
      <c r="D320" s="2">
        <v>0.66666666666666663</v>
      </c>
      <c r="E320" s="1" t="s">
        <v>786</v>
      </c>
      <c r="F320" s="5">
        <v>1</v>
      </c>
      <c r="G320" s="5">
        <v>3</v>
      </c>
      <c r="H320" s="1">
        <v>2.4700000000000002</v>
      </c>
      <c r="I320" s="1">
        <v>2.84</v>
      </c>
      <c r="J320" s="1">
        <v>3.15</v>
      </c>
      <c r="K320" s="6">
        <f>+H320-J320</f>
        <v>-0.67999999999999972</v>
      </c>
      <c r="L320" s="7" t="str">
        <f>IF(F320-G320&gt;0,"Win","Loss")</f>
        <v>Loss</v>
      </c>
      <c r="M320" s="14">
        <f t="shared" si="8"/>
        <v>-50</v>
      </c>
      <c r="N320" s="14">
        <f t="shared" si="9"/>
        <v>50</v>
      </c>
    </row>
    <row r="321" spans="1:14" ht="12.75" x14ac:dyDescent="0.2">
      <c r="A321" s="1" t="s">
        <v>1024</v>
      </c>
      <c r="B321" s="3" t="s">
        <v>1025</v>
      </c>
      <c r="C321" s="4">
        <v>43365</v>
      </c>
      <c r="D321" s="2">
        <v>0.5625</v>
      </c>
      <c r="E321" s="1" t="s">
        <v>787</v>
      </c>
      <c r="F321" s="5">
        <v>1</v>
      </c>
      <c r="G321" s="5">
        <v>2</v>
      </c>
      <c r="H321" s="1">
        <v>2.3199999999999998</v>
      </c>
      <c r="I321" s="1">
        <v>2.82</v>
      </c>
      <c r="J321" s="1">
        <v>3.48</v>
      </c>
      <c r="K321" s="6">
        <f>+H321-J321</f>
        <v>-1.1600000000000001</v>
      </c>
      <c r="L321" s="7" t="str">
        <f>IF(F321-G321&gt;0,"Win","Loss")</f>
        <v>Loss</v>
      </c>
      <c r="M321" s="14">
        <f t="shared" si="8"/>
        <v>-50</v>
      </c>
      <c r="N321" s="14">
        <f t="shared" si="9"/>
        <v>50</v>
      </c>
    </row>
    <row r="322" spans="1:14" ht="12.75" x14ac:dyDescent="0.2">
      <c r="A322" s="1" t="s">
        <v>1000</v>
      </c>
      <c r="B322" s="3" t="s">
        <v>1001</v>
      </c>
      <c r="C322" s="4">
        <v>43366</v>
      </c>
      <c r="D322" s="2">
        <v>0.77430555555555547</v>
      </c>
      <c r="E322" s="1" t="s">
        <v>232</v>
      </c>
      <c r="F322" s="5">
        <v>0</v>
      </c>
      <c r="G322" s="5">
        <v>1</v>
      </c>
      <c r="H322" s="1">
        <v>2.4300000000000002</v>
      </c>
      <c r="I322" s="1">
        <v>2.86</v>
      </c>
      <c r="J322" s="1">
        <v>3.11</v>
      </c>
      <c r="K322" s="6">
        <f>+H322-J322</f>
        <v>-0.67999999999999972</v>
      </c>
      <c r="L322" s="7" t="str">
        <f>IF(F322-G322&gt;0,"Win","Loss")</f>
        <v>Loss</v>
      </c>
      <c r="M322" s="14">
        <f t="shared" si="8"/>
        <v>-50</v>
      </c>
      <c r="N322" s="14">
        <f t="shared" si="9"/>
        <v>50</v>
      </c>
    </row>
    <row r="323" spans="1:14" ht="12.75" x14ac:dyDescent="0.2">
      <c r="A323" s="1" t="s">
        <v>1000</v>
      </c>
      <c r="B323" s="3" t="s">
        <v>1001</v>
      </c>
      <c r="C323" s="4">
        <v>43366</v>
      </c>
      <c r="D323" s="2">
        <v>0.77083333333333337</v>
      </c>
      <c r="E323" s="1" t="s">
        <v>233</v>
      </c>
      <c r="F323" s="5">
        <v>2</v>
      </c>
      <c r="G323" s="5">
        <v>3</v>
      </c>
      <c r="H323" s="1">
        <v>2.4</v>
      </c>
      <c r="I323" s="1">
        <v>2.83</v>
      </c>
      <c r="J323" s="1">
        <v>3.24</v>
      </c>
      <c r="K323" s="6">
        <f>+H323-J323</f>
        <v>-0.8400000000000003</v>
      </c>
      <c r="L323" s="7" t="str">
        <f>IF(F323-G323&gt;0,"Win","Loss")</f>
        <v>Loss</v>
      </c>
      <c r="M323" s="14">
        <f t="shared" si="8"/>
        <v>-50</v>
      </c>
      <c r="N323" s="14">
        <f t="shared" si="9"/>
        <v>50</v>
      </c>
    </row>
    <row r="324" spans="1:14" ht="12.75" x14ac:dyDescent="0.2">
      <c r="A324" s="1" t="s">
        <v>1000</v>
      </c>
      <c r="B324" s="3" t="s">
        <v>1001</v>
      </c>
      <c r="C324" s="4">
        <v>43366</v>
      </c>
      <c r="D324" s="2">
        <v>0.75</v>
      </c>
      <c r="E324" s="1" t="s">
        <v>234</v>
      </c>
      <c r="F324" s="5">
        <v>1</v>
      </c>
      <c r="G324" s="5">
        <v>0</v>
      </c>
      <c r="H324" s="1">
        <v>2.2799999999999998</v>
      </c>
      <c r="I324" s="1">
        <v>2.65</v>
      </c>
      <c r="J324" s="1">
        <v>3.71</v>
      </c>
      <c r="K324" s="6">
        <f>+H324-J324</f>
        <v>-1.4300000000000002</v>
      </c>
      <c r="L324" s="7" t="str">
        <f>IF(F324-G324&gt;0,"Win","Loss")</f>
        <v>Win</v>
      </c>
      <c r="M324" s="14">
        <f t="shared" si="8"/>
        <v>63.999999999999986</v>
      </c>
      <c r="N324" s="14">
        <f t="shared" si="9"/>
        <v>50</v>
      </c>
    </row>
    <row r="325" spans="1:14" ht="12.75" x14ac:dyDescent="0.2">
      <c r="A325" s="1" t="s">
        <v>1000</v>
      </c>
      <c r="B325" s="3" t="s">
        <v>1001</v>
      </c>
      <c r="C325" s="4">
        <v>43366</v>
      </c>
      <c r="D325" s="2">
        <v>0.58333333333333337</v>
      </c>
      <c r="E325" s="1" t="s">
        <v>235</v>
      </c>
      <c r="F325" s="5">
        <v>0</v>
      </c>
      <c r="G325" s="5">
        <v>0</v>
      </c>
      <c r="H325" s="1">
        <v>1.84</v>
      </c>
      <c r="I325" s="1">
        <v>3.07</v>
      </c>
      <c r="J325" s="1">
        <v>4.67</v>
      </c>
      <c r="K325" s="6">
        <f>+H325-J325</f>
        <v>-2.83</v>
      </c>
      <c r="L325" s="7" t="str">
        <f>IF(F325-G325&gt;0,"Win","Loss")</f>
        <v>Loss</v>
      </c>
      <c r="M325" s="14">
        <f t="shared" si="8"/>
        <v>-50</v>
      </c>
      <c r="N325" s="14">
        <f t="shared" si="9"/>
        <v>50</v>
      </c>
    </row>
    <row r="326" spans="1:14" ht="12.75" x14ac:dyDescent="0.2">
      <c r="A326" s="1" t="s">
        <v>1000</v>
      </c>
      <c r="B326" s="3" t="s">
        <v>1001</v>
      </c>
      <c r="C326" s="4">
        <v>43366</v>
      </c>
      <c r="D326" s="2">
        <v>0.58333333333333337</v>
      </c>
      <c r="E326" s="1" t="s">
        <v>236</v>
      </c>
      <c r="F326" s="5">
        <v>1</v>
      </c>
      <c r="G326" s="5">
        <v>0</v>
      </c>
      <c r="H326" s="1">
        <v>2.15</v>
      </c>
      <c r="I326" s="1">
        <v>2.79</v>
      </c>
      <c r="J326" s="1">
        <v>3.89</v>
      </c>
      <c r="K326" s="6">
        <f>+H326-J326</f>
        <v>-1.7400000000000002</v>
      </c>
      <c r="L326" s="7" t="str">
        <f>IF(F326-G326&gt;0,"Win","Loss")</f>
        <v>Win</v>
      </c>
      <c r="M326" s="14">
        <f t="shared" si="8"/>
        <v>57.5</v>
      </c>
      <c r="N326" s="14">
        <f t="shared" si="9"/>
        <v>50</v>
      </c>
    </row>
    <row r="327" spans="1:14" ht="12.75" x14ac:dyDescent="0.2">
      <c r="A327" s="1" t="s">
        <v>1000</v>
      </c>
      <c r="B327" s="3" t="s">
        <v>1001</v>
      </c>
      <c r="C327" s="4">
        <v>43366</v>
      </c>
      <c r="D327" s="2">
        <v>0.97916666666666663</v>
      </c>
      <c r="E327" s="1" t="s">
        <v>237</v>
      </c>
      <c r="F327" s="5">
        <v>2</v>
      </c>
      <c r="G327" s="5">
        <v>2</v>
      </c>
      <c r="H327" s="1">
        <v>2.95</v>
      </c>
      <c r="I327" s="1">
        <v>2.72</v>
      </c>
      <c r="J327" s="1">
        <v>2.68</v>
      </c>
      <c r="K327" s="6">
        <f>+H327-J327</f>
        <v>0.27</v>
      </c>
      <c r="L327" s="7" t="str">
        <f>IF(F327-G327&gt;0,"Win","Loss")</f>
        <v>Loss</v>
      </c>
      <c r="M327" s="14">
        <f t="shared" si="8"/>
        <v>-50</v>
      </c>
      <c r="N327" s="14">
        <f t="shared" si="9"/>
        <v>50</v>
      </c>
    </row>
    <row r="328" spans="1:14" ht="12.75" x14ac:dyDescent="0.2">
      <c r="A328" s="1" t="s">
        <v>1006</v>
      </c>
      <c r="B328" s="3" t="s">
        <v>1007</v>
      </c>
      <c r="C328" s="4">
        <v>43366</v>
      </c>
      <c r="D328" s="2">
        <v>0.625</v>
      </c>
      <c r="E328" s="1" t="s">
        <v>368</v>
      </c>
      <c r="F328" s="5">
        <v>2</v>
      </c>
      <c r="G328" s="5">
        <v>1</v>
      </c>
      <c r="H328" s="1">
        <v>1.21</v>
      </c>
      <c r="I328" s="1">
        <v>6.63</v>
      </c>
      <c r="J328" s="1">
        <v>13.66</v>
      </c>
      <c r="K328" s="6">
        <f>+H328-J328</f>
        <v>-12.45</v>
      </c>
      <c r="L328" s="7" t="str">
        <f>IF(F328-G328&gt;0,"Win","Loss")</f>
        <v>Win</v>
      </c>
      <c r="M328" s="14">
        <f t="shared" si="8"/>
        <v>10.5</v>
      </c>
      <c r="N328" s="14">
        <f t="shared" si="9"/>
        <v>50</v>
      </c>
    </row>
    <row r="329" spans="1:14" ht="12.75" x14ac:dyDescent="0.2">
      <c r="A329" s="1" t="s">
        <v>1006</v>
      </c>
      <c r="B329" s="3" t="s">
        <v>1007</v>
      </c>
      <c r="C329" s="4">
        <v>43366</v>
      </c>
      <c r="D329" s="2">
        <v>0.52083333333333337</v>
      </c>
      <c r="E329" s="1" t="s">
        <v>369</v>
      </c>
      <c r="F329" s="5">
        <v>0</v>
      </c>
      <c r="G329" s="5">
        <v>3</v>
      </c>
      <c r="H329" s="1">
        <v>2.61</v>
      </c>
      <c r="I329" s="1">
        <v>3.28</v>
      </c>
      <c r="J329" s="1">
        <v>2.74</v>
      </c>
      <c r="K329" s="6">
        <f>+H329-J329</f>
        <v>-0.13000000000000034</v>
      </c>
      <c r="L329" s="7" t="str">
        <f>IF(F329-G329&gt;0,"Win","Loss")</f>
        <v>Loss</v>
      </c>
      <c r="M329" s="14">
        <f t="shared" si="8"/>
        <v>-50</v>
      </c>
      <c r="N329" s="14">
        <f t="shared" si="9"/>
        <v>50</v>
      </c>
    </row>
    <row r="330" spans="1:14" ht="12.75" x14ac:dyDescent="0.2">
      <c r="A330" s="1" t="s">
        <v>1006</v>
      </c>
      <c r="B330" s="3" t="s">
        <v>1007</v>
      </c>
      <c r="C330" s="4">
        <v>43366</v>
      </c>
      <c r="D330" s="2">
        <v>0.52083333333333337</v>
      </c>
      <c r="E330" s="1" t="s">
        <v>370</v>
      </c>
      <c r="F330" s="5">
        <v>1</v>
      </c>
      <c r="G330" s="5">
        <v>3</v>
      </c>
      <c r="H330" s="1">
        <v>1.84</v>
      </c>
      <c r="I330" s="1">
        <v>3.86</v>
      </c>
      <c r="J330" s="1">
        <v>4.0199999999999996</v>
      </c>
      <c r="K330" s="6">
        <f>+H330-J330</f>
        <v>-2.1799999999999997</v>
      </c>
      <c r="L330" s="7" t="str">
        <f>IF(F330-G330&gt;0,"Win","Loss")</f>
        <v>Loss</v>
      </c>
      <c r="M330" s="14">
        <f t="shared" si="8"/>
        <v>-50</v>
      </c>
      <c r="N330" s="14">
        <f t="shared" si="9"/>
        <v>50</v>
      </c>
    </row>
    <row r="331" spans="1:14" ht="12.75" x14ac:dyDescent="0.2">
      <c r="A331" s="1" t="s">
        <v>1018</v>
      </c>
      <c r="B331" s="3" t="s">
        <v>1019</v>
      </c>
      <c r="C331" s="4">
        <v>43366</v>
      </c>
      <c r="D331" s="2">
        <v>0.60416666666666663</v>
      </c>
      <c r="E331" s="1" t="s">
        <v>653</v>
      </c>
      <c r="F331" s="5">
        <v>3</v>
      </c>
      <c r="G331" s="5">
        <v>2</v>
      </c>
      <c r="H331" s="1">
        <v>2.4</v>
      </c>
      <c r="I331" s="1">
        <v>3.17</v>
      </c>
      <c r="J331" s="1">
        <v>2.7</v>
      </c>
      <c r="K331" s="6">
        <f>+H331-J331</f>
        <v>-0.30000000000000027</v>
      </c>
      <c r="L331" s="7" t="str">
        <f>IF(F331-G331&gt;0,"Win","Loss")</f>
        <v>Win</v>
      </c>
      <c r="M331" s="14">
        <f t="shared" si="8"/>
        <v>70</v>
      </c>
      <c r="N331" s="14">
        <f t="shared" si="9"/>
        <v>50</v>
      </c>
    </row>
    <row r="332" spans="1:14" ht="12.75" x14ac:dyDescent="0.2">
      <c r="A332" s="1" t="s">
        <v>1018</v>
      </c>
      <c r="B332" s="3" t="s">
        <v>1019</v>
      </c>
      <c r="C332" s="4">
        <v>43366</v>
      </c>
      <c r="D332" s="2">
        <v>0.60416666666666663</v>
      </c>
      <c r="E332" s="1" t="s">
        <v>654</v>
      </c>
      <c r="F332" s="5">
        <v>1</v>
      </c>
      <c r="G332" s="5">
        <v>0</v>
      </c>
      <c r="H332" s="1">
        <v>2.37</v>
      </c>
      <c r="I332" s="1">
        <v>3.16</v>
      </c>
      <c r="J332" s="1">
        <v>2.75</v>
      </c>
      <c r="K332" s="6">
        <f>+H332-J332</f>
        <v>-0.37999999999999989</v>
      </c>
      <c r="L332" s="7" t="str">
        <f>IF(F332-G332&gt;0,"Win","Loss")</f>
        <v>Win</v>
      </c>
      <c r="M332" s="14">
        <f t="shared" si="8"/>
        <v>68.5</v>
      </c>
      <c r="N332" s="14">
        <f t="shared" si="9"/>
        <v>50</v>
      </c>
    </row>
    <row r="333" spans="1:14" ht="12.75" x14ac:dyDescent="0.2">
      <c r="A333" s="1" t="s">
        <v>1018</v>
      </c>
      <c r="B333" s="3" t="s">
        <v>1019</v>
      </c>
      <c r="C333" s="4">
        <v>43366</v>
      </c>
      <c r="D333" s="2">
        <v>0.60416666666666663</v>
      </c>
      <c r="E333" s="1" t="s">
        <v>655</v>
      </c>
      <c r="F333" s="5">
        <v>2</v>
      </c>
      <c r="G333" s="5">
        <v>2</v>
      </c>
      <c r="H333" s="1">
        <v>1.89</v>
      </c>
      <c r="I333" s="1">
        <v>3.48</v>
      </c>
      <c r="J333" s="1">
        <v>3.49</v>
      </c>
      <c r="K333" s="6">
        <f>+H333-J333</f>
        <v>-1.6000000000000003</v>
      </c>
      <c r="L333" s="7" t="str">
        <f>IF(F333-G333&gt;0,"Win","Loss")</f>
        <v>Loss</v>
      </c>
      <c r="M333" s="14">
        <f t="shared" si="8"/>
        <v>-50</v>
      </c>
      <c r="N333" s="14">
        <f t="shared" si="9"/>
        <v>50</v>
      </c>
    </row>
    <row r="334" spans="1:14" ht="12.75" x14ac:dyDescent="0.2">
      <c r="A334" s="1" t="s">
        <v>1018</v>
      </c>
      <c r="B334" s="3" t="s">
        <v>1019</v>
      </c>
      <c r="C334" s="4">
        <v>43366</v>
      </c>
      <c r="D334" s="2">
        <v>0.52083333333333337</v>
      </c>
      <c r="E334" s="1" t="s">
        <v>656</v>
      </c>
      <c r="F334" s="5">
        <v>2</v>
      </c>
      <c r="G334" s="5">
        <v>0</v>
      </c>
      <c r="H334" s="1">
        <v>2.74</v>
      </c>
      <c r="I334" s="1">
        <v>2.98</v>
      </c>
      <c r="J334" s="1">
        <v>2.4300000000000002</v>
      </c>
      <c r="K334" s="6">
        <f>+H334-J334</f>
        <v>0.31000000000000005</v>
      </c>
      <c r="L334" s="7" t="str">
        <f>IF(F334-G334&gt;0,"Win","Loss")</f>
        <v>Win</v>
      </c>
      <c r="M334" s="14">
        <f t="shared" ref="M334:M397" si="10">IF(L334="Win",(H334*N334)-N334,-N334)</f>
        <v>87</v>
      </c>
      <c r="N334" s="14">
        <f t="shared" ref="N334:N397" si="11">+$M$1</f>
        <v>50</v>
      </c>
    </row>
    <row r="335" spans="1:14" ht="12.75" x14ac:dyDescent="0.2">
      <c r="A335" s="1" t="s">
        <v>1022</v>
      </c>
      <c r="B335" s="3" t="s">
        <v>1023</v>
      </c>
      <c r="C335" s="4">
        <v>43366</v>
      </c>
      <c r="D335" s="2">
        <v>0.54166666666666663</v>
      </c>
      <c r="E335" s="1" t="s">
        <v>731</v>
      </c>
      <c r="F335" s="5">
        <v>2</v>
      </c>
      <c r="G335" s="5">
        <v>0</v>
      </c>
      <c r="H335" s="1">
        <v>1.49</v>
      </c>
      <c r="I335" s="1">
        <v>4.09</v>
      </c>
      <c r="J335" s="1">
        <v>5.56</v>
      </c>
      <c r="K335" s="6">
        <f>+H335-J335</f>
        <v>-4.0699999999999994</v>
      </c>
      <c r="L335" s="7" t="str">
        <f>IF(F335-G335&gt;0,"Win","Loss")</f>
        <v>Win</v>
      </c>
      <c r="M335" s="14">
        <f t="shared" si="10"/>
        <v>24.5</v>
      </c>
      <c r="N335" s="14">
        <f t="shared" si="11"/>
        <v>50</v>
      </c>
    </row>
    <row r="336" spans="1:14" ht="12.75" x14ac:dyDescent="0.2">
      <c r="A336" s="1" t="s">
        <v>1022</v>
      </c>
      <c r="B336" s="3" t="s">
        <v>1023</v>
      </c>
      <c r="C336" s="4">
        <v>43366</v>
      </c>
      <c r="D336" s="2">
        <v>0.54166666666666663</v>
      </c>
      <c r="E336" s="1" t="s">
        <v>732</v>
      </c>
      <c r="F336" s="5">
        <v>1</v>
      </c>
      <c r="G336" s="5">
        <v>2</v>
      </c>
      <c r="H336" s="1">
        <v>2.82</v>
      </c>
      <c r="I336" s="1">
        <v>3.3</v>
      </c>
      <c r="J336" s="1">
        <v>2.2599999999999998</v>
      </c>
      <c r="K336" s="6">
        <f>+H336-J336</f>
        <v>0.56000000000000005</v>
      </c>
      <c r="L336" s="7" t="str">
        <f>IF(F336-G336&gt;0,"Win","Loss")</f>
        <v>Loss</v>
      </c>
      <c r="M336" s="14">
        <f t="shared" si="10"/>
        <v>-50</v>
      </c>
      <c r="N336" s="14">
        <f t="shared" si="11"/>
        <v>50</v>
      </c>
    </row>
    <row r="337" spans="1:14" ht="12.75" x14ac:dyDescent="0.2">
      <c r="A337" s="1" t="s">
        <v>1024</v>
      </c>
      <c r="B337" s="3" t="s">
        <v>1025</v>
      </c>
      <c r="C337" s="4">
        <v>43366</v>
      </c>
      <c r="D337" s="2">
        <v>0.79166666666666663</v>
      </c>
      <c r="E337" s="1" t="s">
        <v>784</v>
      </c>
      <c r="F337" s="5">
        <v>2</v>
      </c>
      <c r="G337" s="5">
        <v>1</v>
      </c>
      <c r="H337" s="1">
        <v>1.52</v>
      </c>
      <c r="I337" s="1">
        <v>3.79</v>
      </c>
      <c r="J337" s="1">
        <v>6.42</v>
      </c>
      <c r="K337" s="6">
        <f>+H337-J337</f>
        <v>-4.9000000000000004</v>
      </c>
      <c r="L337" s="7" t="str">
        <f>IF(F337-G337&gt;0,"Win","Loss")</f>
        <v>Win</v>
      </c>
      <c r="M337" s="14">
        <f t="shared" si="10"/>
        <v>26</v>
      </c>
      <c r="N337" s="14">
        <f t="shared" si="11"/>
        <v>50</v>
      </c>
    </row>
    <row r="338" spans="1:14" ht="12.75" x14ac:dyDescent="0.2">
      <c r="A338" s="1" t="s">
        <v>1024</v>
      </c>
      <c r="B338" s="3" t="s">
        <v>1025</v>
      </c>
      <c r="C338" s="4">
        <v>43366</v>
      </c>
      <c r="D338" s="2">
        <v>0.5625</v>
      </c>
      <c r="E338" s="1" t="s">
        <v>785</v>
      </c>
      <c r="F338" s="5">
        <v>1</v>
      </c>
      <c r="G338" s="5">
        <v>0</v>
      </c>
      <c r="H338" s="1">
        <v>2.15</v>
      </c>
      <c r="I338" s="1">
        <v>2.91</v>
      </c>
      <c r="J338" s="1">
        <v>3.7</v>
      </c>
      <c r="K338" s="6">
        <f>+H338-J338</f>
        <v>-1.5500000000000003</v>
      </c>
      <c r="L338" s="7" t="str">
        <f>IF(F338-G338&gt;0,"Win","Loss")</f>
        <v>Win</v>
      </c>
      <c r="M338" s="14">
        <f t="shared" si="10"/>
        <v>57.5</v>
      </c>
      <c r="N338" s="14">
        <f t="shared" si="11"/>
        <v>50</v>
      </c>
    </row>
    <row r="339" spans="1:14" ht="12.75" x14ac:dyDescent="0.2">
      <c r="A339" s="1" t="s">
        <v>1000</v>
      </c>
      <c r="B339" s="3" t="s">
        <v>1001</v>
      </c>
      <c r="C339" s="4">
        <v>43367</v>
      </c>
      <c r="D339" s="2">
        <v>0.91666666666666663</v>
      </c>
      <c r="E339" s="1" t="s">
        <v>229</v>
      </c>
      <c r="F339" s="5">
        <v>2</v>
      </c>
      <c r="G339" s="5">
        <v>1</v>
      </c>
      <c r="H339" s="1">
        <v>2.39</v>
      </c>
      <c r="I339" s="1">
        <v>2.82</v>
      </c>
      <c r="J339" s="1">
        <v>3.26</v>
      </c>
      <c r="K339" s="6">
        <f>+H339-J339</f>
        <v>-0.86999999999999966</v>
      </c>
      <c r="L339" s="7" t="str">
        <f>IF(F339-G339&gt;0,"Win","Loss")</f>
        <v>Win</v>
      </c>
      <c r="M339" s="14">
        <f t="shared" si="10"/>
        <v>69.5</v>
      </c>
      <c r="N339" s="14">
        <f t="shared" si="11"/>
        <v>50</v>
      </c>
    </row>
    <row r="340" spans="1:14" ht="12.75" x14ac:dyDescent="0.2">
      <c r="A340" s="1" t="s">
        <v>1000</v>
      </c>
      <c r="B340" s="3" t="s">
        <v>1001</v>
      </c>
      <c r="C340" s="4">
        <v>43367</v>
      </c>
      <c r="D340" s="2">
        <v>0.77083333333333337</v>
      </c>
      <c r="E340" s="1" t="s">
        <v>230</v>
      </c>
      <c r="F340" s="5">
        <v>0</v>
      </c>
      <c r="G340" s="5">
        <v>0</v>
      </c>
      <c r="H340" s="1">
        <v>1.98</v>
      </c>
      <c r="I340" s="1">
        <v>2.9</v>
      </c>
      <c r="J340" s="1">
        <v>4.34</v>
      </c>
      <c r="K340" s="6">
        <f>+H340-J340</f>
        <v>-2.36</v>
      </c>
      <c r="L340" s="7" t="str">
        <f>IF(F340-G340&gt;0,"Win","Loss")</f>
        <v>Loss</v>
      </c>
      <c r="M340" s="14">
        <f t="shared" si="10"/>
        <v>-50</v>
      </c>
      <c r="N340" s="14">
        <f t="shared" si="11"/>
        <v>50</v>
      </c>
    </row>
    <row r="341" spans="1:14" ht="12.75" x14ac:dyDescent="0.2">
      <c r="A341" s="1" t="s">
        <v>1000</v>
      </c>
      <c r="B341" s="3" t="s">
        <v>1001</v>
      </c>
      <c r="C341" s="4">
        <v>43367</v>
      </c>
      <c r="D341" s="2">
        <v>0</v>
      </c>
      <c r="E341" s="1" t="s">
        <v>231</v>
      </c>
      <c r="F341" s="5">
        <v>2</v>
      </c>
      <c r="G341" s="5">
        <v>1</v>
      </c>
      <c r="H341" s="1">
        <v>2.13</v>
      </c>
      <c r="I341" s="1">
        <v>2.79</v>
      </c>
      <c r="J341" s="1">
        <v>4.01</v>
      </c>
      <c r="K341" s="6">
        <f>+H341-J341</f>
        <v>-1.88</v>
      </c>
      <c r="L341" s="7" t="str">
        <f>IF(F341-G341&gt;0,"Win","Loss")</f>
        <v>Win</v>
      </c>
      <c r="M341" s="14">
        <f t="shared" si="10"/>
        <v>56.5</v>
      </c>
      <c r="N341" s="14">
        <f t="shared" si="11"/>
        <v>50</v>
      </c>
    </row>
    <row r="342" spans="1:14" ht="12.75" x14ac:dyDescent="0.2">
      <c r="A342" s="1" t="s">
        <v>1024</v>
      </c>
      <c r="B342" s="3" t="s">
        <v>1025</v>
      </c>
      <c r="C342" s="4">
        <v>43367</v>
      </c>
      <c r="D342" s="2">
        <v>0.66666666666666663</v>
      </c>
      <c r="E342" s="1" t="s">
        <v>783</v>
      </c>
      <c r="F342" s="5">
        <v>1</v>
      </c>
      <c r="G342" s="5">
        <v>2</v>
      </c>
      <c r="H342" s="1">
        <v>2.48</v>
      </c>
      <c r="I342" s="1">
        <v>2.87</v>
      </c>
      <c r="J342" s="1">
        <v>3.16</v>
      </c>
      <c r="K342" s="6">
        <f>+H342-J342</f>
        <v>-0.68000000000000016</v>
      </c>
      <c r="L342" s="7" t="str">
        <f>IF(F342-G342&gt;0,"Win","Loss")</f>
        <v>Loss</v>
      </c>
      <c r="M342" s="14">
        <f t="shared" si="10"/>
        <v>-50</v>
      </c>
      <c r="N342" s="14">
        <f t="shared" si="11"/>
        <v>50</v>
      </c>
    </row>
    <row r="343" spans="1:14" ht="12.75" x14ac:dyDescent="0.2">
      <c r="A343" s="1" t="s">
        <v>1000</v>
      </c>
      <c r="B343" s="3" t="s">
        <v>1001</v>
      </c>
      <c r="C343" s="4">
        <v>43371</v>
      </c>
      <c r="D343" s="2">
        <v>0.77430555555555547</v>
      </c>
      <c r="E343" s="1" t="s">
        <v>228</v>
      </c>
      <c r="F343" s="5">
        <v>0</v>
      </c>
      <c r="G343" s="5">
        <v>2</v>
      </c>
      <c r="H343" s="1">
        <v>1.99</v>
      </c>
      <c r="I343" s="1">
        <v>2.99</v>
      </c>
      <c r="J343" s="1">
        <v>4.1399999999999997</v>
      </c>
      <c r="K343" s="6">
        <f>+H343-J343</f>
        <v>-2.1499999999999995</v>
      </c>
      <c r="L343" s="7" t="str">
        <f>IF(F343-G343&gt;0,"Win","Loss")</f>
        <v>Loss</v>
      </c>
      <c r="M343" s="14">
        <f t="shared" si="10"/>
        <v>-50</v>
      </c>
      <c r="N343" s="14">
        <f t="shared" si="11"/>
        <v>50</v>
      </c>
    </row>
    <row r="344" spans="1:14" ht="12.75" x14ac:dyDescent="0.2">
      <c r="A344" s="1" t="s">
        <v>1018</v>
      </c>
      <c r="B344" s="3" t="s">
        <v>1019</v>
      </c>
      <c r="C344" s="4">
        <v>43371</v>
      </c>
      <c r="D344" s="2">
        <v>0.58333333333333337</v>
      </c>
      <c r="E344" s="1" t="s">
        <v>652</v>
      </c>
      <c r="F344" s="5">
        <v>1</v>
      </c>
      <c r="G344" s="5">
        <v>0</v>
      </c>
      <c r="H344" s="1">
        <v>1.58</v>
      </c>
      <c r="I344" s="1">
        <v>3.89</v>
      </c>
      <c r="J344" s="1">
        <v>4.76</v>
      </c>
      <c r="K344" s="6">
        <f>+H344-J344</f>
        <v>-3.1799999999999997</v>
      </c>
      <c r="L344" s="7" t="str">
        <f>IF(F344-G344&gt;0,"Win","Loss")</f>
        <v>Win</v>
      </c>
      <c r="M344" s="14">
        <f t="shared" si="10"/>
        <v>29</v>
      </c>
      <c r="N344" s="14">
        <f t="shared" si="11"/>
        <v>50</v>
      </c>
    </row>
    <row r="345" spans="1:14" ht="12.75" x14ac:dyDescent="0.2">
      <c r="A345" s="1" t="s">
        <v>1024</v>
      </c>
      <c r="B345" s="3" t="s">
        <v>1025</v>
      </c>
      <c r="C345" s="4">
        <v>43371</v>
      </c>
      <c r="D345" s="2">
        <v>0.70833333333333337</v>
      </c>
      <c r="E345" s="1" t="s">
        <v>781</v>
      </c>
      <c r="F345" s="5">
        <v>1</v>
      </c>
      <c r="G345" s="5">
        <v>1</v>
      </c>
      <c r="H345" s="1">
        <v>2.0099999999999998</v>
      </c>
      <c r="I345" s="1">
        <v>3.12</v>
      </c>
      <c r="J345" s="1">
        <v>3.76</v>
      </c>
      <c r="K345" s="6">
        <f>+H345-J345</f>
        <v>-1.75</v>
      </c>
      <c r="L345" s="7" t="str">
        <f>IF(F345-G345&gt;0,"Win","Loss")</f>
        <v>Loss</v>
      </c>
      <c r="M345" s="14">
        <f t="shared" si="10"/>
        <v>-50</v>
      </c>
      <c r="N345" s="14">
        <f t="shared" si="11"/>
        <v>50</v>
      </c>
    </row>
    <row r="346" spans="1:14" ht="12.75" x14ac:dyDescent="0.2">
      <c r="A346" s="1" t="s">
        <v>1024</v>
      </c>
      <c r="B346" s="3" t="s">
        <v>1025</v>
      </c>
      <c r="C346" s="4">
        <v>43371</v>
      </c>
      <c r="D346" s="2">
        <v>0.625</v>
      </c>
      <c r="E346" s="1" t="s">
        <v>782</v>
      </c>
      <c r="F346" s="5">
        <v>2</v>
      </c>
      <c r="G346" s="5">
        <v>2</v>
      </c>
      <c r="H346" s="1">
        <v>1.86</v>
      </c>
      <c r="I346" s="1">
        <v>3.1</v>
      </c>
      <c r="J346" s="1">
        <v>4.54</v>
      </c>
      <c r="K346" s="6">
        <f>+H346-J346</f>
        <v>-2.6799999999999997</v>
      </c>
      <c r="L346" s="7" t="str">
        <f>IF(F346-G346&gt;0,"Win","Loss")</f>
        <v>Loss</v>
      </c>
      <c r="M346" s="14">
        <f t="shared" si="10"/>
        <v>-50</v>
      </c>
      <c r="N346" s="14">
        <f t="shared" si="11"/>
        <v>50</v>
      </c>
    </row>
    <row r="347" spans="1:14" ht="12.75" x14ac:dyDescent="0.2">
      <c r="A347" s="1" t="s">
        <v>1000</v>
      </c>
      <c r="B347" s="3" t="s">
        <v>1001</v>
      </c>
      <c r="C347" s="4">
        <v>43372</v>
      </c>
      <c r="D347" s="2">
        <v>0</v>
      </c>
      <c r="E347" s="1" t="s">
        <v>227</v>
      </c>
      <c r="F347" s="5">
        <v>0</v>
      </c>
      <c r="G347" s="5">
        <v>1</v>
      </c>
      <c r="H347" s="1">
        <v>1.7</v>
      </c>
      <c r="I347" s="1">
        <v>3.36</v>
      </c>
      <c r="J347" s="1">
        <v>5.15</v>
      </c>
      <c r="K347" s="6">
        <f>+H347-J347</f>
        <v>-3.45</v>
      </c>
      <c r="L347" s="7" t="str">
        <f>IF(F347-G347&gt;0,"Win","Loss")</f>
        <v>Loss</v>
      </c>
      <c r="M347" s="14">
        <f t="shared" si="10"/>
        <v>-50</v>
      </c>
      <c r="N347" s="14">
        <f t="shared" si="11"/>
        <v>50</v>
      </c>
    </row>
    <row r="348" spans="1:14" ht="12.75" x14ac:dyDescent="0.2">
      <c r="A348" s="1" t="s">
        <v>1006</v>
      </c>
      <c r="B348" s="3" t="s">
        <v>1007</v>
      </c>
      <c r="C348" s="4">
        <v>43372</v>
      </c>
      <c r="D348" s="2">
        <v>0.625</v>
      </c>
      <c r="E348" s="1" t="s">
        <v>365</v>
      </c>
      <c r="F348" s="5">
        <v>1</v>
      </c>
      <c r="G348" s="5">
        <v>4</v>
      </c>
      <c r="H348" s="1">
        <v>7.03</v>
      </c>
      <c r="I348" s="1">
        <v>4.6399999999999997</v>
      </c>
      <c r="J348" s="1">
        <v>1.42</v>
      </c>
      <c r="K348" s="6">
        <f>+H348-J348</f>
        <v>5.61</v>
      </c>
      <c r="L348" s="7" t="str">
        <f>IF(F348-G348&gt;0,"Win","Loss")</f>
        <v>Loss</v>
      </c>
      <c r="M348" s="14">
        <f t="shared" si="10"/>
        <v>-50</v>
      </c>
      <c r="N348" s="14">
        <f t="shared" si="11"/>
        <v>50</v>
      </c>
    </row>
    <row r="349" spans="1:14" ht="12.75" x14ac:dyDescent="0.2">
      <c r="A349" s="1" t="s">
        <v>1006</v>
      </c>
      <c r="B349" s="3" t="s">
        <v>1007</v>
      </c>
      <c r="C349" s="4">
        <v>43372</v>
      </c>
      <c r="D349" s="2">
        <v>0.625</v>
      </c>
      <c r="E349" s="1" t="s">
        <v>366</v>
      </c>
      <c r="F349" s="5">
        <v>2</v>
      </c>
      <c r="G349" s="5">
        <v>4</v>
      </c>
      <c r="H349" s="1">
        <v>2.62</v>
      </c>
      <c r="I349" s="1">
        <v>3.44</v>
      </c>
      <c r="J349" s="1">
        <v>2.59</v>
      </c>
      <c r="K349" s="6">
        <f>+H349-J349</f>
        <v>3.0000000000000249E-2</v>
      </c>
      <c r="L349" s="7" t="str">
        <f>IF(F349-G349&gt;0,"Win","Loss")</f>
        <v>Loss</v>
      </c>
      <c r="M349" s="14">
        <f t="shared" si="10"/>
        <v>-50</v>
      </c>
      <c r="N349" s="14">
        <f t="shared" si="11"/>
        <v>50</v>
      </c>
    </row>
    <row r="350" spans="1:14" ht="12.75" x14ac:dyDescent="0.2">
      <c r="A350" s="1" t="s">
        <v>1006</v>
      </c>
      <c r="B350" s="3" t="s">
        <v>1007</v>
      </c>
      <c r="C350" s="4">
        <v>43372</v>
      </c>
      <c r="D350" s="2">
        <v>0.625</v>
      </c>
      <c r="E350" s="1" t="s">
        <v>367</v>
      </c>
      <c r="F350" s="5">
        <v>0</v>
      </c>
      <c r="G350" s="5">
        <v>2</v>
      </c>
      <c r="H350" s="1">
        <v>1.5</v>
      </c>
      <c r="I350" s="1">
        <v>4.5199999999999996</v>
      </c>
      <c r="J350" s="1">
        <v>5.93</v>
      </c>
      <c r="K350" s="6">
        <f>+H350-J350</f>
        <v>-4.43</v>
      </c>
      <c r="L350" s="7" t="str">
        <f>IF(F350-G350&gt;0,"Win","Loss")</f>
        <v>Loss</v>
      </c>
      <c r="M350" s="14">
        <f t="shared" si="10"/>
        <v>-50</v>
      </c>
      <c r="N350" s="14">
        <f t="shared" si="11"/>
        <v>50</v>
      </c>
    </row>
    <row r="351" spans="1:14" ht="12.75" x14ac:dyDescent="0.2">
      <c r="A351" s="1" t="s">
        <v>1018</v>
      </c>
      <c r="B351" s="3" t="s">
        <v>1019</v>
      </c>
      <c r="C351" s="4">
        <v>43372</v>
      </c>
      <c r="D351" s="2">
        <v>0.70833333333333337</v>
      </c>
      <c r="E351" s="1" t="s">
        <v>648</v>
      </c>
      <c r="F351" s="5">
        <v>1</v>
      </c>
      <c r="G351" s="5">
        <v>0</v>
      </c>
      <c r="H351" s="1">
        <v>1.95</v>
      </c>
      <c r="I351" s="1">
        <v>3.21</v>
      </c>
      <c r="J351" s="1">
        <v>3.67</v>
      </c>
      <c r="K351" s="6">
        <f>+H351-J351</f>
        <v>-1.72</v>
      </c>
      <c r="L351" s="7" t="str">
        <f>IF(F351-G351&gt;0,"Win","Loss")</f>
        <v>Win</v>
      </c>
      <c r="M351" s="14">
        <f t="shared" si="10"/>
        <v>47.5</v>
      </c>
      <c r="N351" s="14">
        <f t="shared" si="11"/>
        <v>50</v>
      </c>
    </row>
    <row r="352" spans="1:14" ht="12.75" x14ac:dyDescent="0.2">
      <c r="A352" s="1" t="s">
        <v>1018</v>
      </c>
      <c r="B352" s="3" t="s">
        <v>1019</v>
      </c>
      <c r="C352" s="4">
        <v>43372</v>
      </c>
      <c r="D352" s="2">
        <v>0.58333333333333337</v>
      </c>
      <c r="E352" s="1" t="s">
        <v>649</v>
      </c>
      <c r="F352" s="5">
        <v>1</v>
      </c>
      <c r="G352" s="5">
        <v>2</v>
      </c>
      <c r="H352" s="1">
        <v>4.21</v>
      </c>
      <c r="I352" s="1">
        <v>3.46</v>
      </c>
      <c r="J352" s="1">
        <v>1.71</v>
      </c>
      <c r="K352" s="6">
        <f>+H352-J352</f>
        <v>2.5</v>
      </c>
      <c r="L352" s="7" t="str">
        <f>IF(F352-G352&gt;0,"Win","Loss")</f>
        <v>Loss</v>
      </c>
      <c r="M352" s="14">
        <f t="shared" si="10"/>
        <v>-50</v>
      </c>
      <c r="N352" s="14">
        <f t="shared" si="11"/>
        <v>50</v>
      </c>
    </row>
    <row r="353" spans="1:14" ht="12.75" x14ac:dyDescent="0.2">
      <c r="A353" s="1" t="s">
        <v>1018</v>
      </c>
      <c r="B353" s="3" t="s">
        <v>1019</v>
      </c>
      <c r="C353" s="4">
        <v>43372</v>
      </c>
      <c r="D353" s="2">
        <v>0.58333333333333337</v>
      </c>
      <c r="E353" s="1" t="s">
        <v>650</v>
      </c>
      <c r="F353" s="5">
        <v>3</v>
      </c>
      <c r="G353" s="5">
        <v>1</v>
      </c>
      <c r="H353" s="1">
        <v>2.2999999999999998</v>
      </c>
      <c r="I353" s="1">
        <v>3.09</v>
      </c>
      <c r="J353" s="1">
        <v>2.81</v>
      </c>
      <c r="K353" s="6">
        <f>+H353-J353</f>
        <v>-0.51000000000000023</v>
      </c>
      <c r="L353" s="7" t="str">
        <f>IF(F353-G353&gt;0,"Win","Loss")</f>
        <v>Win</v>
      </c>
      <c r="M353" s="14">
        <f t="shared" si="10"/>
        <v>64.999999999999986</v>
      </c>
      <c r="N353" s="14">
        <f t="shared" si="11"/>
        <v>50</v>
      </c>
    </row>
    <row r="354" spans="1:14" ht="12.75" x14ac:dyDescent="0.2">
      <c r="A354" s="1" t="s">
        <v>1018</v>
      </c>
      <c r="B354" s="3" t="s">
        <v>1019</v>
      </c>
      <c r="C354" s="4">
        <v>43372</v>
      </c>
      <c r="D354" s="2">
        <v>0.52083333333333337</v>
      </c>
      <c r="E354" s="1" t="s">
        <v>651</v>
      </c>
      <c r="F354" s="5">
        <v>0</v>
      </c>
      <c r="G354" s="5">
        <v>2</v>
      </c>
      <c r="H354" s="1">
        <v>1.62</v>
      </c>
      <c r="I354" s="1">
        <v>3.58</v>
      </c>
      <c r="J354" s="1">
        <v>4.67</v>
      </c>
      <c r="K354" s="6">
        <f>+H354-J354</f>
        <v>-3.05</v>
      </c>
      <c r="L354" s="7" t="str">
        <f>IF(F354-G354&gt;0,"Win","Loss")</f>
        <v>Loss</v>
      </c>
      <c r="M354" s="14">
        <f t="shared" si="10"/>
        <v>-50</v>
      </c>
      <c r="N354" s="14">
        <f t="shared" si="11"/>
        <v>50</v>
      </c>
    </row>
    <row r="355" spans="1:14" ht="12.75" x14ac:dyDescent="0.2">
      <c r="A355" s="1" t="s">
        <v>1022</v>
      </c>
      <c r="B355" s="3" t="s">
        <v>1023</v>
      </c>
      <c r="C355" s="4">
        <v>43372</v>
      </c>
      <c r="D355" s="2">
        <v>0.54166666666666663</v>
      </c>
      <c r="E355" s="1" t="s">
        <v>727</v>
      </c>
      <c r="F355" s="5">
        <v>0</v>
      </c>
      <c r="G355" s="5">
        <v>2</v>
      </c>
      <c r="H355" s="1">
        <v>2.2799999999999998</v>
      </c>
      <c r="I355" s="1">
        <v>3.44</v>
      </c>
      <c r="J355" s="1">
        <v>2.68</v>
      </c>
      <c r="K355" s="6">
        <f>+H355-J355</f>
        <v>-0.40000000000000036</v>
      </c>
      <c r="L355" s="7" t="str">
        <f>IF(F355-G355&gt;0,"Win","Loss")</f>
        <v>Loss</v>
      </c>
      <c r="M355" s="14">
        <f t="shared" si="10"/>
        <v>-50</v>
      </c>
      <c r="N355" s="14">
        <f t="shared" si="11"/>
        <v>50</v>
      </c>
    </row>
    <row r="356" spans="1:14" ht="12.75" x14ac:dyDescent="0.2">
      <c r="A356" s="1" t="s">
        <v>1022</v>
      </c>
      <c r="B356" s="3" t="s">
        <v>1023</v>
      </c>
      <c r="C356" s="4">
        <v>43372</v>
      </c>
      <c r="D356" s="2">
        <v>0.54166666666666663</v>
      </c>
      <c r="E356" s="1" t="s">
        <v>728</v>
      </c>
      <c r="F356" s="5">
        <v>6</v>
      </c>
      <c r="G356" s="5">
        <v>0</v>
      </c>
      <c r="H356" s="1">
        <v>1.39</v>
      </c>
      <c r="I356" s="1">
        <v>4.32</v>
      </c>
      <c r="J356" s="1">
        <v>6.48</v>
      </c>
      <c r="K356" s="6">
        <f>+H356-J356</f>
        <v>-5.0900000000000007</v>
      </c>
      <c r="L356" s="7" t="str">
        <f>IF(F356-G356&gt;0,"Win","Loss")</f>
        <v>Win</v>
      </c>
      <c r="M356" s="14">
        <f t="shared" si="10"/>
        <v>19.5</v>
      </c>
      <c r="N356" s="14">
        <f t="shared" si="11"/>
        <v>50</v>
      </c>
    </row>
    <row r="357" spans="1:14" ht="12.75" x14ac:dyDescent="0.2">
      <c r="A357" s="1" t="s">
        <v>1022</v>
      </c>
      <c r="B357" s="3" t="s">
        <v>1023</v>
      </c>
      <c r="C357" s="4">
        <v>43372</v>
      </c>
      <c r="D357" s="2">
        <v>0.5</v>
      </c>
      <c r="E357" s="1" t="s">
        <v>729</v>
      </c>
      <c r="F357" s="5">
        <v>0</v>
      </c>
      <c r="G357" s="5">
        <v>0</v>
      </c>
      <c r="H357" s="1">
        <v>2.2000000000000002</v>
      </c>
      <c r="I357" s="1">
        <v>3.33</v>
      </c>
      <c r="J357" s="1">
        <v>2.86</v>
      </c>
      <c r="K357" s="6">
        <f>+H357-J357</f>
        <v>-0.6599999999999997</v>
      </c>
      <c r="L357" s="7" t="str">
        <f>IF(F357-G357&gt;0,"Win","Loss")</f>
        <v>Loss</v>
      </c>
      <c r="M357" s="14">
        <f t="shared" si="10"/>
        <v>-50</v>
      </c>
      <c r="N357" s="14">
        <f t="shared" si="11"/>
        <v>50</v>
      </c>
    </row>
    <row r="358" spans="1:14" ht="12.75" x14ac:dyDescent="0.2">
      <c r="A358" s="1" t="s">
        <v>1022</v>
      </c>
      <c r="B358" s="3" t="s">
        <v>1023</v>
      </c>
      <c r="C358" s="4">
        <v>43372</v>
      </c>
      <c r="D358" s="2">
        <v>0.45833333333333331</v>
      </c>
      <c r="E358" s="1" t="s">
        <v>730</v>
      </c>
      <c r="F358" s="5">
        <v>3</v>
      </c>
      <c r="G358" s="5">
        <v>3</v>
      </c>
      <c r="H358" s="1">
        <v>2.94</v>
      </c>
      <c r="I358" s="1">
        <v>3.24</v>
      </c>
      <c r="J358" s="1">
        <v>2.25</v>
      </c>
      <c r="K358" s="6">
        <f>+H358-J358</f>
        <v>0.69</v>
      </c>
      <c r="L358" s="7" t="str">
        <f>IF(F358-G358&gt;0,"Win","Loss")</f>
        <v>Loss</v>
      </c>
      <c r="M358" s="14">
        <f t="shared" si="10"/>
        <v>-50</v>
      </c>
      <c r="N358" s="14">
        <f t="shared" si="11"/>
        <v>50</v>
      </c>
    </row>
    <row r="359" spans="1:14" ht="12.75" x14ac:dyDescent="0.2">
      <c r="A359" s="1" t="s">
        <v>1000</v>
      </c>
      <c r="B359" s="3" t="s">
        <v>1001</v>
      </c>
      <c r="C359" s="4">
        <v>43373</v>
      </c>
      <c r="D359" s="2">
        <v>0.81597222222222221</v>
      </c>
      <c r="E359" s="1" t="s">
        <v>223</v>
      </c>
      <c r="F359" s="5">
        <v>1</v>
      </c>
      <c r="G359" s="5">
        <v>2</v>
      </c>
      <c r="H359" s="1">
        <v>2.36</v>
      </c>
      <c r="I359" s="1">
        <v>2.78</v>
      </c>
      <c r="J359" s="1">
        <v>3.36</v>
      </c>
      <c r="K359" s="6">
        <f>+H359-J359</f>
        <v>-1</v>
      </c>
      <c r="L359" s="7" t="str">
        <f>IF(F359-G359&gt;0,"Win","Loss")</f>
        <v>Loss</v>
      </c>
      <c r="M359" s="14">
        <f t="shared" si="10"/>
        <v>-50</v>
      </c>
      <c r="N359" s="14">
        <f t="shared" si="11"/>
        <v>50</v>
      </c>
    </row>
    <row r="360" spans="1:14" ht="12.75" x14ac:dyDescent="0.2">
      <c r="A360" s="1" t="s">
        <v>1000</v>
      </c>
      <c r="B360" s="3" t="s">
        <v>1001</v>
      </c>
      <c r="C360" s="4">
        <v>43373</v>
      </c>
      <c r="D360" s="2">
        <v>0.8125</v>
      </c>
      <c r="E360" s="1" t="s">
        <v>224</v>
      </c>
      <c r="F360" s="5">
        <v>1</v>
      </c>
      <c r="G360" s="5">
        <v>0</v>
      </c>
      <c r="H360" s="1">
        <v>2.04</v>
      </c>
      <c r="I360" s="1">
        <v>2.89</v>
      </c>
      <c r="J360" s="1">
        <v>4.07</v>
      </c>
      <c r="K360" s="6">
        <f>+H360-J360</f>
        <v>-2.0300000000000002</v>
      </c>
      <c r="L360" s="7" t="str">
        <f>IF(F360-G360&gt;0,"Win","Loss")</f>
        <v>Win</v>
      </c>
      <c r="M360" s="14">
        <f t="shared" si="10"/>
        <v>52</v>
      </c>
      <c r="N360" s="14">
        <f t="shared" si="11"/>
        <v>50</v>
      </c>
    </row>
    <row r="361" spans="1:14" ht="12.75" x14ac:dyDescent="0.2">
      <c r="A361" s="1" t="s">
        <v>1000</v>
      </c>
      <c r="B361" s="3" t="s">
        <v>1001</v>
      </c>
      <c r="C361" s="4">
        <v>43373</v>
      </c>
      <c r="D361" s="2">
        <v>0.77083333333333337</v>
      </c>
      <c r="E361" s="1" t="s">
        <v>225</v>
      </c>
      <c r="F361" s="5">
        <v>2</v>
      </c>
      <c r="G361" s="5">
        <v>0</v>
      </c>
      <c r="H361" s="1">
        <v>2.08</v>
      </c>
      <c r="I361" s="1">
        <v>2.86</v>
      </c>
      <c r="J361" s="1">
        <v>4.0599999999999996</v>
      </c>
      <c r="K361" s="6">
        <f>+H361-J361</f>
        <v>-1.9799999999999995</v>
      </c>
      <c r="L361" s="7" t="str">
        <f>IF(F361-G361&gt;0,"Win","Loss")</f>
        <v>Win</v>
      </c>
      <c r="M361" s="14">
        <f t="shared" si="10"/>
        <v>54</v>
      </c>
      <c r="N361" s="14">
        <f t="shared" si="11"/>
        <v>50</v>
      </c>
    </row>
    <row r="362" spans="1:14" ht="12.75" x14ac:dyDescent="0.2">
      <c r="A362" s="1" t="s">
        <v>1000</v>
      </c>
      <c r="B362" s="3" t="s">
        <v>1001</v>
      </c>
      <c r="C362" s="4">
        <v>43373</v>
      </c>
      <c r="D362" s="2">
        <v>0.73263888888888884</v>
      </c>
      <c r="E362" s="1" t="s">
        <v>226</v>
      </c>
      <c r="F362" s="5">
        <v>1</v>
      </c>
      <c r="G362" s="5">
        <v>1</v>
      </c>
      <c r="H362" s="1">
        <v>2.4700000000000002</v>
      </c>
      <c r="I362" s="1">
        <v>2.76</v>
      </c>
      <c r="J362" s="1">
        <v>3.19</v>
      </c>
      <c r="K362" s="6">
        <f>+H362-J362</f>
        <v>-0.71999999999999975</v>
      </c>
      <c r="L362" s="7" t="str">
        <f>IF(F362-G362&gt;0,"Win","Loss")</f>
        <v>Loss</v>
      </c>
      <c r="M362" s="14">
        <f t="shared" si="10"/>
        <v>-50</v>
      </c>
      <c r="N362" s="14">
        <f t="shared" si="11"/>
        <v>50</v>
      </c>
    </row>
    <row r="363" spans="1:14" ht="12.75" x14ac:dyDescent="0.2">
      <c r="A363" s="1" t="s">
        <v>1006</v>
      </c>
      <c r="B363" s="3" t="s">
        <v>1007</v>
      </c>
      <c r="C363" s="4">
        <v>43373</v>
      </c>
      <c r="D363" s="2">
        <v>0.625</v>
      </c>
      <c r="E363" s="1" t="s">
        <v>362</v>
      </c>
      <c r="F363" s="5">
        <v>0</v>
      </c>
      <c r="G363" s="5">
        <v>0</v>
      </c>
      <c r="H363" s="1">
        <v>1.84</v>
      </c>
      <c r="I363" s="1">
        <v>3.64</v>
      </c>
      <c r="J363" s="1">
        <v>4.2300000000000004</v>
      </c>
      <c r="K363" s="6">
        <f>+H363-J363</f>
        <v>-2.3900000000000006</v>
      </c>
      <c r="L363" s="7" t="str">
        <f>IF(F363-G363&gt;0,"Win","Loss")</f>
        <v>Loss</v>
      </c>
      <c r="M363" s="14">
        <f t="shared" si="10"/>
        <v>-50</v>
      </c>
      <c r="N363" s="14">
        <f t="shared" si="11"/>
        <v>50</v>
      </c>
    </row>
    <row r="364" spans="1:14" ht="12.75" x14ac:dyDescent="0.2">
      <c r="A364" s="1" t="s">
        <v>1006</v>
      </c>
      <c r="B364" s="3" t="s">
        <v>1007</v>
      </c>
      <c r="C364" s="4">
        <v>43373</v>
      </c>
      <c r="D364" s="2">
        <v>0.52083333333333337</v>
      </c>
      <c r="E364" s="1" t="s">
        <v>363</v>
      </c>
      <c r="F364" s="5">
        <v>0</v>
      </c>
      <c r="G364" s="5">
        <v>1</v>
      </c>
      <c r="H364" s="1">
        <v>3.31</v>
      </c>
      <c r="I364" s="1">
        <v>3.57</v>
      </c>
      <c r="J364" s="1">
        <v>2.11</v>
      </c>
      <c r="K364" s="6">
        <f>+H364-J364</f>
        <v>1.2000000000000002</v>
      </c>
      <c r="L364" s="7" t="str">
        <f>IF(F364-G364&gt;0,"Win","Loss")</f>
        <v>Loss</v>
      </c>
      <c r="M364" s="14">
        <f t="shared" si="10"/>
        <v>-50</v>
      </c>
      <c r="N364" s="14">
        <f t="shared" si="11"/>
        <v>50</v>
      </c>
    </row>
    <row r="365" spans="1:14" ht="12.75" x14ac:dyDescent="0.2">
      <c r="A365" s="1" t="s">
        <v>1006</v>
      </c>
      <c r="B365" s="3" t="s">
        <v>1007</v>
      </c>
      <c r="C365" s="4">
        <v>43373</v>
      </c>
      <c r="D365" s="2">
        <v>0.52083333333333337</v>
      </c>
      <c r="E365" s="1" t="s">
        <v>364</v>
      </c>
      <c r="F365" s="5">
        <v>2</v>
      </c>
      <c r="G365" s="5">
        <v>1</v>
      </c>
      <c r="H365" s="1">
        <v>1.92</v>
      </c>
      <c r="I365" s="1">
        <v>3.78</v>
      </c>
      <c r="J365" s="1">
        <v>3.7</v>
      </c>
      <c r="K365" s="6">
        <f>+H365-J365</f>
        <v>-1.7800000000000002</v>
      </c>
      <c r="L365" s="7" t="str">
        <f>IF(F365-G365&gt;0,"Win","Loss")</f>
        <v>Win</v>
      </c>
      <c r="M365" s="14">
        <f t="shared" si="10"/>
        <v>46</v>
      </c>
      <c r="N365" s="14">
        <f t="shared" si="11"/>
        <v>50</v>
      </c>
    </row>
    <row r="366" spans="1:14" ht="12.75" x14ac:dyDescent="0.2">
      <c r="A366" s="1" t="s">
        <v>1018</v>
      </c>
      <c r="B366" s="3" t="s">
        <v>1019</v>
      </c>
      <c r="C366" s="4">
        <v>43373</v>
      </c>
      <c r="D366" s="2">
        <v>0.625</v>
      </c>
      <c r="E366" s="1" t="s">
        <v>646</v>
      </c>
      <c r="F366" s="5">
        <v>1</v>
      </c>
      <c r="G366" s="5">
        <v>0</v>
      </c>
      <c r="H366" s="1">
        <v>1.67</v>
      </c>
      <c r="I366" s="1">
        <v>3.56</v>
      </c>
      <c r="J366" s="1">
        <v>4.4800000000000004</v>
      </c>
      <c r="K366" s="6">
        <f>+H366-J366</f>
        <v>-2.8100000000000005</v>
      </c>
      <c r="L366" s="7" t="str">
        <f>IF(F366-G366&gt;0,"Win","Loss")</f>
        <v>Win</v>
      </c>
      <c r="M366" s="14">
        <f t="shared" si="10"/>
        <v>33.5</v>
      </c>
      <c r="N366" s="14">
        <f t="shared" si="11"/>
        <v>50</v>
      </c>
    </row>
    <row r="367" spans="1:14" ht="12.75" x14ac:dyDescent="0.2">
      <c r="A367" s="1" t="s">
        <v>1018</v>
      </c>
      <c r="B367" s="3" t="s">
        <v>1019</v>
      </c>
      <c r="C367" s="4">
        <v>43373</v>
      </c>
      <c r="D367" s="2">
        <v>0.5</v>
      </c>
      <c r="E367" s="1" t="s">
        <v>647</v>
      </c>
      <c r="F367" s="5">
        <v>3</v>
      </c>
      <c r="G367" s="5">
        <v>1</v>
      </c>
      <c r="H367" s="1">
        <v>2.2400000000000002</v>
      </c>
      <c r="I367" s="1">
        <v>3.13</v>
      </c>
      <c r="J367" s="1">
        <v>2.92</v>
      </c>
      <c r="K367" s="6">
        <f>+H367-J367</f>
        <v>-0.67999999999999972</v>
      </c>
      <c r="L367" s="7" t="str">
        <f>IF(F367-G367&gt;0,"Win","Loss")</f>
        <v>Win</v>
      </c>
      <c r="M367" s="14">
        <f t="shared" si="10"/>
        <v>62.000000000000014</v>
      </c>
      <c r="N367" s="14">
        <f t="shared" si="11"/>
        <v>50</v>
      </c>
    </row>
    <row r="368" spans="1:14" ht="12.75" x14ac:dyDescent="0.2">
      <c r="A368" s="1" t="s">
        <v>1022</v>
      </c>
      <c r="B368" s="3" t="s">
        <v>1023</v>
      </c>
      <c r="C368" s="4">
        <v>43373</v>
      </c>
      <c r="D368" s="2">
        <v>0.375</v>
      </c>
      <c r="E368" s="1" t="s">
        <v>726</v>
      </c>
      <c r="F368" s="5">
        <v>0</v>
      </c>
      <c r="G368" s="5">
        <v>4</v>
      </c>
      <c r="H368" s="1">
        <v>2.65</v>
      </c>
      <c r="I368" s="1">
        <v>3.42</v>
      </c>
      <c r="J368" s="1">
        <v>2.39</v>
      </c>
      <c r="K368" s="6">
        <f>+H368-J368</f>
        <v>0.25999999999999979</v>
      </c>
      <c r="L368" s="7" t="str">
        <f>IF(F368-G368&gt;0,"Win","Loss")</f>
        <v>Loss</v>
      </c>
      <c r="M368" s="14">
        <f t="shared" si="10"/>
        <v>-50</v>
      </c>
      <c r="N368" s="14">
        <f t="shared" si="11"/>
        <v>50</v>
      </c>
    </row>
    <row r="369" spans="1:14" ht="12.75" x14ac:dyDescent="0.2">
      <c r="A369" s="1" t="s">
        <v>1024</v>
      </c>
      <c r="B369" s="3" t="s">
        <v>1025</v>
      </c>
      <c r="C369" s="4">
        <v>43373</v>
      </c>
      <c r="D369" s="2">
        <v>0.79166666666666663</v>
      </c>
      <c r="E369" s="1" t="s">
        <v>779</v>
      </c>
      <c r="F369" s="5">
        <v>0</v>
      </c>
      <c r="G369" s="5">
        <v>1</v>
      </c>
      <c r="H369" s="1">
        <v>2.13</v>
      </c>
      <c r="I369" s="1">
        <v>3</v>
      </c>
      <c r="J369" s="1">
        <v>3.62</v>
      </c>
      <c r="K369" s="6">
        <f>+H369-J369</f>
        <v>-1.4900000000000002</v>
      </c>
      <c r="L369" s="7" t="str">
        <f>IF(F369-G369&gt;0,"Win","Loss")</f>
        <v>Loss</v>
      </c>
      <c r="M369" s="14">
        <f t="shared" si="10"/>
        <v>-50</v>
      </c>
      <c r="N369" s="14">
        <f t="shared" si="11"/>
        <v>50</v>
      </c>
    </row>
    <row r="370" spans="1:14" ht="12.75" x14ac:dyDescent="0.2">
      <c r="A370" s="1" t="s">
        <v>1024</v>
      </c>
      <c r="B370" s="3" t="s">
        <v>1025</v>
      </c>
      <c r="C370" s="4">
        <v>43373</v>
      </c>
      <c r="D370" s="2">
        <v>0.66666666666666663</v>
      </c>
      <c r="E370" s="1" t="s">
        <v>780</v>
      </c>
      <c r="F370" s="5">
        <v>0</v>
      </c>
      <c r="G370" s="5">
        <v>1</v>
      </c>
      <c r="H370" s="1">
        <v>3.71</v>
      </c>
      <c r="I370" s="1">
        <v>2.89</v>
      </c>
      <c r="J370" s="1">
        <v>2.16</v>
      </c>
      <c r="K370" s="6">
        <f>+H370-J370</f>
        <v>1.5499999999999998</v>
      </c>
      <c r="L370" s="7" t="str">
        <f>IF(F370-G370&gt;0,"Win","Loss")</f>
        <v>Loss</v>
      </c>
      <c r="M370" s="14">
        <f t="shared" si="10"/>
        <v>-50</v>
      </c>
      <c r="N370" s="14">
        <f t="shared" si="11"/>
        <v>50</v>
      </c>
    </row>
    <row r="371" spans="1:14" ht="12.75" x14ac:dyDescent="0.2">
      <c r="A371" s="1" t="s">
        <v>1024</v>
      </c>
      <c r="B371" s="3" t="s">
        <v>1025</v>
      </c>
      <c r="C371" s="4">
        <v>43374</v>
      </c>
      <c r="D371" s="2">
        <v>0.66666666666666663</v>
      </c>
      <c r="E371" s="1" t="s">
        <v>778</v>
      </c>
      <c r="F371" s="5">
        <v>0</v>
      </c>
      <c r="G371" s="5">
        <v>0</v>
      </c>
      <c r="H371" s="1">
        <v>2.1</v>
      </c>
      <c r="I371" s="1">
        <v>2.94</v>
      </c>
      <c r="J371" s="1">
        <v>3.83</v>
      </c>
      <c r="K371" s="6">
        <f>+H371-J371</f>
        <v>-1.73</v>
      </c>
      <c r="L371" s="7" t="str">
        <f>IF(F371-G371&gt;0,"Win","Loss")</f>
        <v>Loss</v>
      </c>
      <c r="M371" s="14">
        <f t="shared" si="10"/>
        <v>-50</v>
      </c>
      <c r="N371" s="14">
        <f t="shared" si="11"/>
        <v>50</v>
      </c>
    </row>
    <row r="372" spans="1:14" ht="12.75" x14ac:dyDescent="0.2">
      <c r="A372" s="1" t="s">
        <v>1000</v>
      </c>
      <c r="B372" s="3" t="s">
        <v>1001</v>
      </c>
      <c r="C372" s="4">
        <v>43375</v>
      </c>
      <c r="D372" s="2">
        <v>4.1666666666666664E-2</v>
      </c>
      <c r="E372" s="1" t="s">
        <v>221</v>
      </c>
      <c r="F372" s="5">
        <v>1</v>
      </c>
      <c r="G372" s="5">
        <v>1</v>
      </c>
      <c r="H372" s="1">
        <v>2.36</v>
      </c>
      <c r="I372" s="1">
        <v>2.76</v>
      </c>
      <c r="J372" s="1">
        <v>3.38</v>
      </c>
      <c r="K372" s="6">
        <f>+H372-J372</f>
        <v>-1.02</v>
      </c>
      <c r="L372" s="7" t="str">
        <f>IF(F372-G372&gt;0,"Win","Loss")</f>
        <v>Loss</v>
      </c>
      <c r="M372" s="14">
        <f t="shared" si="10"/>
        <v>-50</v>
      </c>
      <c r="N372" s="14">
        <f t="shared" si="11"/>
        <v>50</v>
      </c>
    </row>
    <row r="373" spans="1:14" ht="12.75" x14ac:dyDescent="0.2">
      <c r="A373" s="1" t="s">
        <v>1000</v>
      </c>
      <c r="B373" s="3" t="s">
        <v>1001</v>
      </c>
      <c r="C373" s="4">
        <v>43375</v>
      </c>
      <c r="D373" s="2">
        <v>0.95833333333333337</v>
      </c>
      <c r="E373" s="1" t="s">
        <v>222</v>
      </c>
      <c r="F373" s="5">
        <v>0</v>
      </c>
      <c r="G373" s="5">
        <v>0</v>
      </c>
      <c r="H373" s="1">
        <v>2.2799999999999998</v>
      </c>
      <c r="I373" s="1">
        <v>2.87</v>
      </c>
      <c r="J373" s="1">
        <v>3.38</v>
      </c>
      <c r="K373" s="6">
        <f>+H373-J373</f>
        <v>-1.1000000000000001</v>
      </c>
      <c r="L373" s="7" t="str">
        <f>IF(F373-G373&gt;0,"Win","Loss")</f>
        <v>Loss</v>
      </c>
      <c r="M373" s="14">
        <f t="shared" si="10"/>
        <v>-50</v>
      </c>
      <c r="N373" s="14">
        <f t="shared" si="11"/>
        <v>50</v>
      </c>
    </row>
    <row r="374" spans="1:14" ht="12.75" x14ac:dyDescent="0.2">
      <c r="A374" s="1" t="s">
        <v>1024</v>
      </c>
      <c r="B374" s="3" t="s">
        <v>1025</v>
      </c>
      <c r="C374" s="4">
        <v>43375</v>
      </c>
      <c r="D374" s="2">
        <v>0.64583333333333337</v>
      </c>
      <c r="E374" s="1" t="s">
        <v>777</v>
      </c>
      <c r="F374" s="5">
        <v>2</v>
      </c>
      <c r="G374" s="5">
        <v>1</v>
      </c>
      <c r="H374" s="1">
        <v>2.39</v>
      </c>
      <c r="I374" s="1">
        <v>2.85</v>
      </c>
      <c r="J374" s="1">
        <v>3.17</v>
      </c>
      <c r="K374" s="6">
        <f>+H374-J374</f>
        <v>-0.7799999999999998</v>
      </c>
      <c r="L374" s="7" t="str">
        <f>IF(F374-G374&gt;0,"Win","Loss")</f>
        <v>Win</v>
      </c>
      <c r="M374" s="14">
        <f t="shared" si="10"/>
        <v>69.5</v>
      </c>
      <c r="N374" s="14">
        <f t="shared" si="11"/>
        <v>50</v>
      </c>
    </row>
    <row r="375" spans="1:14" ht="12.75" x14ac:dyDescent="0.2">
      <c r="A375" s="1" t="s">
        <v>1024</v>
      </c>
      <c r="B375" s="3" t="s">
        <v>1025</v>
      </c>
      <c r="C375" s="4">
        <v>43376</v>
      </c>
      <c r="D375" s="2">
        <v>0.66666666666666663</v>
      </c>
      <c r="E375" s="1" t="s">
        <v>776</v>
      </c>
      <c r="F375" s="5">
        <v>3</v>
      </c>
      <c r="G375" s="5">
        <v>3</v>
      </c>
      <c r="H375" s="1">
        <v>2.06</v>
      </c>
      <c r="I375" s="1">
        <v>2.91</v>
      </c>
      <c r="J375" s="1">
        <v>3.97</v>
      </c>
      <c r="K375" s="6">
        <f>+H375-J375</f>
        <v>-1.9100000000000001</v>
      </c>
      <c r="L375" s="7" t="str">
        <f>IF(F375-G375&gt;0,"Win","Loss")</f>
        <v>Loss</v>
      </c>
      <c r="M375" s="14">
        <f t="shared" si="10"/>
        <v>-50</v>
      </c>
      <c r="N375" s="14">
        <f t="shared" si="11"/>
        <v>50</v>
      </c>
    </row>
    <row r="376" spans="1:14" ht="12.75" x14ac:dyDescent="0.2">
      <c r="A376" s="1" t="s">
        <v>1000</v>
      </c>
      <c r="B376" s="3" t="s">
        <v>1001</v>
      </c>
      <c r="C376" s="4">
        <v>43377</v>
      </c>
      <c r="D376" s="2">
        <v>0.77430555555555547</v>
      </c>
      <c r="E376" s="1" t="s">
        <v>220</v>
      </c>
      <c r="F376" s="5">
        <v>1</v>
      </c>
      <c r="G376" s="5">
        <v>0</v>
      </c>
      <c r="H376" s="1">
        <v>2.19</v>
      </c>
      <c r="I376" s="1">
        <v>2.86</v>
      </c>
      <c r="J376" s="1">
        <v>3.59</v>
      </c>
      <c r="K376" s="6">
        <f>+H376-J376</f>
        <v>-1.4</v>
      </c>
      <c r="L376" s="7" t="str">
        <f>IF(F376-G376&gt;0,"Win","Loss")</f>
        <v>Win</v>
      </c>
      <c r="M376" s="14">
        <f t="shared" si="10"/>
        <v>59.5</v>
      </c>
      <c r="N376" s="14">
        <f t="shared" si="11"/>
        <v>50</v>
      </c>
    </row>
    <row r="377" spans="1:14" ht="12.75" x14ac:dyDescent="0.2">
      <c r="A377" s="1" t="s">
        <v>1000</v>
      </c>
      <c r="B377" s="3" t="s">
        <v>1001</v>
      </c>
      <c r="C377" s="4">
        <v>43378</v>
      </c>
      <c r="D377" s="2">
        <v>0.8125</v>
      </c>
      <c r="E377" s="1" t="s">
        <v>219</v>
      </c>
      <c r="F377" s="5">
        <v>1</v>
      </c>
      <c r="G377" s="5">
        <v>0</v>
      </c>
      <c r="H377" s="1">
        <v>1.95</v>
      </c>
      <c r="I377" s="1">
        <v>2.94</v>
      </c>
      <c r="J377" s="1">
        <v>4.3</v>
      </c>
      <c r="K377" s="6">
        <f>+H377-J377</f>
        <v>-2.3499999999999996</v>
      </c>
      <c r="L377" s="7" t="str">
        <f>IF(F377-G377&gt;0,"Win","Loss")</f>
        <v>Win</v>
      </c>
      <c r="M377" s="14">
        <f t="shared" si="10"/>
        <v>47.5</v>
      </c>
      <c r="N377" s="14">
        <f t="shared" si="11"/>
        <v>50</v>
      </c>
    </row>
    <row r="378" spans="1:14" ht="12.75" x14ac:dyDescent="0.2">
      <c r="A378" s="1" t="s">
        <v>1018</v>
      </c>
      <c r="B378" s="3" t="s">
        <v>1019</v>
      </c>
      <c r="C378" s="4">
        <v>43378</v>
      </c>
      <c r="D378" s="2">
        <v>0.5625</v>
      </c>
      <c r="E378" s="1" t="s">
        <v>644</v>
      </c>
      <c r="F378" s="5">
        <v>0</v>
      </c>
      <c r="G378" s="5">
        <v>1</v>
      </c>
      <c r="H378" s="1">
        <v>2.56</v>
      </c>
      <c r="I378" s="1">
        <v>3.17</v>
      </c>
      <c r="J378" s="1">
        <v>2.5299999999999998</v>
      </c>
      <c r="K378" s="6">
        <f>+H378-J378</f>
        <v>3.0000000000000249E-2</v>
      </c>
      <c r="L378" s="7" t="str">
        <f>IF(F378-G378&gt;0,"Win","Loss")</f>
        <v>Loss</v>
      </c>
      <c r="M378" s="14">
        <f t="shared" si="10"/>
        <v>-50</v>
      </c>
      <c r="N378" s="14">
        <f t="shared" si="11"/>
        <v>50</v>
      </c>
    </row>
    <row r="379" spans="1:14" ht="12.75" x14ac:dyDescent="0.2">
      <c r="A379" s="1" t="s">
        <v>1018</v>
      </c>
      <c r="B379" s="3" t="s">
        <v>1019</v>
      </c>
      <c r="C379" s="4">
        <v>43378</v>
      </c>
      <c r="D379" s="2">
        <v>0.5625</v>
      </c>
      <c r="E379" s="1" t="s">
        <v>645</v>
      </c>
      <c r="F379" s="5">
        <v>3</v>
      </c>
      <c r="G379" s="5">
        <v>0</v>
      </c>
      <c r="H379" s="1">
        <v>1.77</v>
      </c>
      <c r="I379" s="1">
        <v>3.38</v>
      </c>
      <c r="J379" s="1">
        <v>4.0199999999999996</v>
      </c>
      <c r="K379" s="6">
        <f>+H379-J379</f>
        <v>-2.2499999999999996</v>
      </c>
      <c r="L379" s="7" t="str">
        <f>IF(F379-G379&gt;0,"Win","Loss")</f>
        <v>Win</v>
      </c>
      <c r="M379" s="14">
        <f t="shared" si="10"/>
        <v>38.5</v>
      </c>
      <c r="N379" s="14">
        <f t="shared" si="11"/>
        <v>50</v>
      </c>
    </row>
    <row r="380" spans="1:14" ht="12.75" x14ac:dyDescent="0.2">
      <c r="A380" s="1" t="s">
        <v>1000</v>
      </c>
      <c r="B380" s="3" t="s">
        <v>1001</v>
      </c>
      <c r="C380" s="4">
        <v>43379</v>
      </c>
      <c r="D380" s="2">
        <v>0.83680555555555547</v>
      </c>
      <c r="E380" s="1" t="s">
        <v>214</v>
      </c>
      <c r="F380" s="5">
        <v>0</v>
      </c>
      <c r="G380" s="5">
        <v>2</v>
      </c>
      <c r="H380" s="1">
        <v>2.39</v>
      </c>
      <c r="I380" s="1">
        <v>2.83</v>
      </c>
      <c r="J380" s="1">
        <v>3.23</v>
      </c>
      <c r="K380" s="6">
        <f>+H380-J380</f>
        <v>-0.83999999999999986</v>
      </c>
      <c r="L380" s="7" t="str">
        <f>IF(F380-G380&gt;0,"Win","Loss")</f>
        <v>Loss</v>
      </c>
      <c r="M380" s="14">
        <f t="shared" si="10"/>
        <v>-50</v>
      </c>
      <c r="N380" s="14">
        <f t="shared" si="11"/>
        <v>50</v>
      </c>
    </row>
    <row r="381" spans="1:14" ht="12.75" x14ac:dyDescent="0.2">
      <c r="A381" s="1" t="s">
        <v>1000</v>
      </c>
      <c r="B381" s="3" t="s">
        <v>1001</v>
      </c>
      <c r="C381" s="4">
        <v>43379</v>
      </c>
      <c r="D381" s="2">
        <v>0.77083333333333337</v>
      </c>
      <c r="E381" s="1" t="s">
        <v>215</v>
      </c>
      <c r="F381" s="5">
        <v>1</v>
      </c>
      <c r="G381" s="5">
        <v>1</v>
      </c>
      <c r="H381" s="1">
        <v>1.99</v>
      </c>
      <c r="I381" s="1">
        <v>2.87</v>
      </c>
      <c r="J381" s="1">
        <v>4.3099999999999996</v>
      </c>
      <c r="K381" s="6">
        <f>+H381-J381</f>
        <v>-2.3199999999999994</v>
      </c>
      <c r="L381" s="7" t="str">
        <f>IF(F381-G381&gt;0,"Win","Loss")</f>
        <v>Loss</v>
      </c>
      <c r="M381" s="14">
        <f t="shared" si="10"/>
        <v>-50</v>
      </c>
      <c r="N381" s="14">
        <f t="shared" si="11"/>
        <v>50</v>
      </c>
    </row>
    <row r="382" spans="1:14" ht="12.75" x14ac:dyDescent="0.2">
      <c r="A382" s="1" t="s">
        <v>1000</v>
      </c>
      <c r="B382" s="3" t="s">
        <v>1001</v>
      </c>
      <c r="C382" s="4">
        <v>43379</v>
      </c>
      <c r="D382" s="2">
        <v>0.77083333333333337</v>
      </c>
      <c r="E382" s="1" t="s">
        <v>216</v>
      </c>
      <c r="F382" s="5">
        <v>1</v>
      </c>
      <c r="G382" s="5">
        <v>0</v>
      </c>
      <c r="H382" s="1">
        <v>2.13</v>
      </c>
      <c r="I382" s="1">
        <v>2.87</v>
      </c>
      <c r="J382" s="1">
        <v>3.74</v>
      </c>
      <c r="K382" s="6">
        <f>+H382-J382</f>
        <v>-1.6100000000000003</v>
      </c>
      <c r="L382" s="7" t="str">
        <f>IF(F382-G382&gt;0,"Win","Loss")</f>
        <v>Win</v>
      </c>
      <c r="M382" s="14">
        <f t="shared" si="10"/>
        <v>56.5</v>
      </c>
      <c r="N382" s="14">
        <f t="shared" si="11"/>
        <v>50</v>
      </c>
    </row>
    <row r="383" spans="1:14" ht="12.75" x14ac:dyDescent="0.2">
      <c r="A383" s="1" t="s">
        <v>1000</v>
      </c>
      <c r="B383" s="3" t="s">
        <v>1001</v>
      </c>
      <c r="C383" s="4">
        <v>43379</v>
      </c>
      <c r="D383" s="2">
        <v>0.6875</v>
      </c>
      <c r="E383" s="1" t="s">
        <v>217</v>
      </c>
      <c r="F383" s="5">
        <v>1</v>
      </c>
      <c r="G383" s="5">
        <v>1</v>
      </c>
      <c r="H383" s="1">
        <v>2.33</v>
      </c>
      <c r="I383" s="1">
        <v>2.68</v>
      </c>
      <c r="J383" s="1">
        <v>3.53</v>
      </c>
      <c r="K383" s="6">
        <f>+H383-J383</f>
        <v>-1.1999999999999997</v>
      </c>
      <c r="L383" s="7" t="str">
        <f>IF(F383-G383&gt;0,"Win","Loss")</f>
        <v>Loss</v>
      </c>
      <c r="M383" s="14">
        <f t="shared" si="10"/>
        <v>-50</v>
      </c>
      <c r="N383" s="14">
        <f t="shared" si="11"/>
        <v>50</v>
      </c>
    </row>
    <row r="384" spans="1:14" ht="12.75" x14ac:dyDescent="0.2">
      <c r="A384" s="1" t="s">
        <v>1000</v>
      </c>
      <c r="B384" s="3" t="s">
        <v>1001</v>
      </c>
      <c r="C384" s="4">
        <v>43379</v>
      </c>
      <c r="D384" s="2">
        <v>3.472222222222222E-3</v>
      </c>
      <c r="E384" s="1" t="s">
        <v>218</v>
      </c>
      <c r="F384" s="5">
        <v>1</v>
      </c>
      <c r="G384" s="5">
        <v>2</v>
      </c>
      <c r="H384" s="1">
        <v>1.55</v>
      </c>
      <c r="I384" s="1">
        <v>3.7</v>
      </c>
      <c r="J384" s="1">
        <v>6.11</v>
      </c>
      <c r="K384" s="6">
        <f>+H384-J384</f>
        <v>-4.5600000000000005</v>
      </c>
      <c r="L384" s="7" t="str">
        <f>IF(F384-G384&gt;0,"Win","Loss")</f>
        <v>Loss</v>
      </c>
      <c r="M384" s="14">
        <f t="shared" si="10"/>
        <v>-50</v>
      </c>
      <c r="N384" s="14">
        <f t="shared" si="11"/>
        <v>50</v>
      </c>
    </row>
    <row r="385" spans="1:14" ht="12.75" x14ac:dyDescent="0.2">
      <c r="A385" s="1" t="s">
        <v>1006</v>
      </c>
      <c r="B385" s="3" t="s">
        <v>1007</v>
      </c>
      <c r="C385" s="4">
        <v>43379</v>
      </c>
      <c r="D385" s="2">
        <v>0.625</v>
      </c>
      <c r="E385" s="1" t="s">
        <v>359</v>
      </c>
      <c r="F385" s="5">
        <v>3</v>
      </c>
      <c r="G385" s="5">
        <v>4</v>
      </c>
      <c r="H385" s="1">
        <v>1.69</v>
      </c>
      <c r="I385" s="1">
        <v>3.94</v>
      </c>
      <c r="J385" s="1">
        <v>4.75</v>
      </c>
      <c r="K385" s="6">
        <f>+H385-J385</f>
        <v>-3.06</v>
      </c>
      <c r="L385" s="7" t="str">
        <f>IF(F385-G385&gt;0,"Win","Loss")</f>
        <v>Loss</v>
      </c>
      <c r="M385" s="14">
        <f t="shared" si="10"/>
        <v>-50</v>
      </c>
      <c r="N385" s="14">
        <f t="shared" si="11"/>
        <v>50</v>
      </c>
    </row>
    <row r="386" spans="1:14" ht="12.75" x14ac:dyDescent="0.2">
      <c r="A386" s="1" t="s">
        <v>1006</v>
      </c>
      <c r="B386" s="3" t="s">
        <v>1007</v>
      </c>
      <c r="C386" s="4">
        <v>43379</v>
      </c>
      <c r="D386" s="2">
        <v>0.625</v>
      </c>
      <c r="E386" s="1" t="s">
        <v>360</v>
      </c>
      <c r="F386" s="5">
        <v>2</v>
      </c>
      <c r="G386" s="5">
        <v>0</v>
      </c>
      <c r="H386" s="1">
        <v>3.17</v>
      </c>
      <c r="I386" s="1">
        <v>3.36</v>
      </c>
      <c r="J386" s="1">
        <v>2.27</v>
      </c>
      <c r="K386" s="6">
        <f>+H386-J386</f>
        <v>0.89999999999999991</v>
      </c>
      <c r="L386" s="7" t="str">
        <f>IF(F386-G386&gt;0,"Win","Loss")</f>
        <v>Win</v>
      </c>
      <c r="M386" s="14">
        <f t="shared" si="10"/>
        <v>108.5</v>
      </c>
      <c r="N386" s="14">
        <f t="shared" si="11"/>
        <v>50</v>
      </c>
    </row>
    <row r="387" spans="1:14" ht="12.75" x14ac:dyDescent="0.2">
      <c r="A387" s="1" t="s">
        <v>1006</v>
      </c>
      <c r="B387" s="3" t="s">
        <v>1007</v>
      </c>
      <c r="C387" s="4">
        <v>43379</v>
      </c>
      <c r="D387" s="2">
        <v>0.625</v>
      </c>
      <c r="E387" s="1" t="s">
        <v>361</v>
      </c>
      <c r="F387" s="5">
        <v>0</v>
      </c>
      <c r="G387" s="5">
        <v>0</v>
      </c>
      <c r="H387" s="1">
        <v>1.85</v>
      </c>
      <c r="I387" s="1">
        <v>3.78</v>
      </c>
      <c r="J387" s="1">
        <v>3.99</v>
      </c>
      <c r="K387" s="6">
        <f>+H387-J387</f>
        <v>-2.14</v>
      </c>
      <c r="L387" s="7" t="str">
        <f>IF(F387-G387&gt;0,"Win","Loss")</f>
        <v>Loss</v>
      </c>
      <c r="M387" s="14">
        <f t="shared" si="10"/>
        <v>-50</v>
      </c>
      <c r="N387" s="14">
        <f t="shared" si="11"/>
        <v>50</v>
      </c>
    </row>
    <row r="388" spans="1:14" ht="12.75" x14ac:dyDescent="0.2">
      <c r="A388" s="1" t="s">
        <v>1018</v>
      </c>
      <c r="B388" s="3" t="s">
        <v>1019</v>
      </c>
      <c r="C388" s="4">
        <v>43379</v>
      </c>
      <c r="D388" s="2">
        <v>0.625</v>
      </c>
      <c r="E388" s="1" t="s">
        <v>640</v>
      </c>
      <c r="F388" s="5">
        <v>1</v>
      </c>
      <c r="G388" s="5">
        <v>4</v>
      </c>
      <c r="H388" s="1">
        <v>1.62</v>
      </c>
      <c r="I388" s="1">
        <v>3.43</v>
      </c>
      <c r="J388" s="1">
        <v>4.7699999999999996</v>
      </c>
      <c r="K388" s="6">
        <f>+H388-J388</f>
        <v>-3.1499999999999995</v>
      </c>
      <c r="L388" s="7" t="str">
        <f>IF(F388-G388&gt;0,"Win","Loss")</f>
        <v>Loss</v>
      </c>
      <c r="M388" s="14">
        <f t="shared" si="10"/>
        <v>-50</v>
      </c>
      <c r="N388" s="14">
        <f t="shared" si="11"/>
        <v>50</v>
      </c>
    </row>
    <row r="389" spans="1:14" ht="12.75" x14ac:dyDescent="0.2">
      <c r="A389" s="1" t="s">
        <v>1018</v>
      </c>
      <c r="B389" s="3" t="s">
        <v>1019</v>
      </c>
      <c r="C389" s="4">
        <v>43379</v>
      </c>
      <c r="D389" s="2">
        <v>0.5625</v>
      </c>
      <c r="E389" s="1" t="s">
        <v>641</v>
      </c>
      <c r="F389" s="5">
        <v>4</v>
      </c>
      <c r="G389" s="5">
        <v>0</v>
      </c>
      <c r="H389" s="1">
        <v>2.52</v>
      </c>
      <c r="I389" s="1">
        <v>3.08</v>
      </c>
      <c r="J389" s="1">
        <v>2.5</v>
      </c>
      <c r="K389" s="6">
        <f>+H389-J389</f>
        <v>2.0000000000000018E-2</v>
      </c>
      <c r="L389" s="7" t="str">
        <f>IF(F389-G389&gt;0,"Win","Loss")</f>
        <v>Win</v>
      </c>
      <c r="M389" s="14">
        <f t="shared" si="10"/>
        <v>76</v>
      </c>
      <c r="N389" s="14">
        <f t="shared" si="11"/>
        <v>50</v>
      </c>
    </row>
    <row r="390" spans="1:14" ht="12.75" x14ac:dyDescent="0.2">
      <c r="A390" s="1" t="s">
        <v>1018</v>
      </c>
      <c r="B390" s="3" t="s">
        <v>1019</v>
      </c>
      <c r="C390" s="4">
        <v>43379</v>
      </c>
      <c r="D390" s="2">
        <v>0.5625</v>
      </c>
      <c r="E390" s="1" t="s">
        <v>642</v>
      </c>
      <c r="F390" s="5">
        <v>0</v>
      </c>
      <c r="G390" s="5">
        <v>0</v>
      </c>
      <c r="H390" s="1">
        <v>2.08</v>
      </c>
      <c r="I390" s="1">
        <v>3.21</v>
      </c>
      <c r="J390" s="1">
        <v>3.04</v>
      </c>
      <c r="K390" s="6">
        <f>+H390-J390</f>
        <v>-0.96</v>
      </c>
      <c r="L390" s="7" t="str">
        <f>IF(F390-G390&gt;0,"Win","Loss")</f>
        <v>Loss</v>
      </c>
      <c r="M390" s="14">
        <f t="shared" si="10"/>
        <v>-50</v>
      </c>
      <c r="N390" s="14">
        <f t="shared" si="11"/>
        <v>50</v>
      </c>
    </row>
    <row r="391" spans="1:14" ht="12.75" x14ac:dyDescent="0.2">
      <c r="A391" s="1" t="s">
        <v>1018</v>
      </c>
      <c r="B391" s="3" t="s">
        <v>1019</v>
      </c>
      <c r="C391" s="4">
        <v>43379</v>
      </c>
      <c r="D391" s="2">
        <v>0.52083333333333337</v>
      </c>
      <c r="E391" s="1" t="s">
        <v>643</v>
      </c>
      <c r="F391" s="5">
        <v>1</v>
      </c>
      <c r="G391" s="5">
        <v>0</v>
      </c>
      <c r="H391" s="1">
        <v>2.16</v>
      </c>
      <c r="I391" s="1">
        <v>3.17</v>
      </c>
      <c r="J391" s="1">
        <v>2.94</v>
      </c>
      <c r="K391" s="6">
        <f>+H391-J391</f>
        <v>-0.7799999999999998</v>
      </c>
      <c r="L391" s="7" t="str">
        <f>IF(F391-G391&gt;0,"Win","Loss")</f>
        <v>Win</v>
      </c>
      <c r="M391" s="14">
        <f t="shared" si="10"/>
        <v>58</v>
      </c>
      <c r="N391" s="14">
        <f t="shared" si="11"/>
        <v>50</v>
      </c>
    </row>
    <row r="392" spans="1:14" ht="12.75" x14ac:dyDescent="0.2">
      <c r="A392" s="1" t="s">
        <v>1000</v>
      </c>
      <c r="B392" s="3" t="s">
        <v>1001</v>
      </c>
      <c r="C392" s="4">
        <v>43380</v>
      </c>
      <c r="D392" s="2">
        <v>0.83333333333333337</v>
      </c>
      <c r="E392" s="1" t="s">
        <v>211</v>
      </c>
      <c r="F392" s="5">
        <v>1</v>
      </c>
      <c r="G392" s="5">
        <v>0</v>
      </c>
      <c r="H392" s="1">
        <v>1.95</v>
      </c>
      <c r="I392" s="1">
        <v>2.89</v>
      </c>
      <c r="J392" s="1">
        <v>4.49</v>
      </c>
      <c r="K392" s="6">
        <f>+H392-J392</f>
        <v>-2.54</v>
      </c>
      <c r="L392" s="7" t="str">
        <f>IF(F392-G392&gt;0,"Win","Loss")</f>
        <v>Win</v>
      </c>
      <c r="M392" s="14">
        <f t="shared" si="10"/>
        <v>47.5</v>
      </c>
      <c r="N392" s="14">
        <f t="shared" si="11"/>
        <v>50</v>
      </c>
    </row>
    <row r="393" spans="1:14" ht="12.75" x14ac:dyDescent="0.2">
      <c r="A393" s="1" t="s">
        <v>1000</v>
      </c>
      <c r="B393" s="3" t="s">
        <v>1001</v>
      </c>
      <c r="C393" s="4">
        <v>43380</v>
      </c>
      <c r="D393" s="2">
        <v>0.83333333333333337</v>
      </c>
      <c r="E393" s="1" t="s">
        <v>212</v>
      </c>
      <c r="F393" s="5">
        <v>2</v>
      </c>
      <c r="G393" s="5">
        <v>1</v>
      </c>
      <c r="H393" s="1">
        <v>2.42</v>
      </c>
      <c r="I393" s="1">
        <v>2.7</v>
      </c>
      <c r="J393" s="1">
        <v>3.33</v>
      </c>
      <c r="K393" s="6">
        <f>+H393-J393</f>
        <v>-0.91000000000000014</v>
      </c>
      <c r="L393" s="7" t="str">
        <f>IF(F393-G393&gt;0,"Win","Loss")</f>
        <v>Win</v>
      </c>
      <c r="M393" s="14">
        <f t="shared" si="10"/>
        <v>71</v>
      </c>
      <c r="N393" s="14">
        <f t="shared" si="11"/>
        <v>50</v>
      </c>
    </row>
    <row r="394" spans="1:14" ht="12.75" x14ac:dyDescent="0.2">
      <c r="A394" s="1" t="s">
        <v>1000</v>
      </c>
      <c r="B394" s="3" t="s">
        <v>1001</v>
      </c>
      <c r="C394" s="4">
        <v>43380</v>
      </c>
      <c r="D394" s="2">
        <v>0.79166666666666663</v>
      </c>
      <c r="E394" s="1" t="s">
        <v>213</v>
      </c>
      <c r="F394" s="5">
        <v>2</v>
      </c>
      <c r="G394" s="5">
        <v>0</v>
      </c>
      <c r="H394" s="1">
        <v>2.66</v>
      </c>
      <c r="I394" s="1">
        <v>2.77</v>
      </c>
      <c r="J394" s="1">
        <v>2.88</v>
      </c>
      <c r="K394" s="6">
        <f>+H394-J394</f>
        <v>-0.21999999999999975</v>
      </c>
      <c r="L394" s="7" t="str">
        <f>IF(F394-G394&gt;0,"Win","Loss")</f>
        <v>Win</v>
      </c>
      <c r="M394" s="14">
        <f t="shared" si="10"/>
        <v>83</v>
      </c>
      <c r="N394" s="14">
        <f t="shared" si="11"/>
        <v>50</v>
      </c>
    </row>
    <row r="395" spans="1:14" ht="12.75" x14ac:dyDescent="0.2">
      <c r="A395" s="1" t="s">
        <v>1006</v>
      </c>
      <c r="B395" s="3" t="s">
        <v>1007</v>
      </c>
      <c r="C395" s="4">
        <v>43380</v>
      </c>
      <c r="D395" s="2">
        <v>0.625</v>
      </c>
      <c r="E395" s="1" t="s">
        <v>356</v>
      </c>
      <c r="F395" s="5">
        <v>1</v>
      </c>
      <c r="G395" s="5">
        <v>2</v>
      </c>
      <c r="H395" s="1">
        <v>5.83</v>
      </c>
      <c r="I395" s="1">
        <v>4.28</v>
      </c>
      <c r="J395" s="1">
        <v>1.53</v>
      </c>
      <c r="K395" s="6">
        <f>+H395-J395</f>
        <v>4.3</v>
      </c>
      <c r="L395" s="7" t="str">
        <f>IF(F395-G395&gt;0,"Win","Loss")</f>
        <v>Loss</v>
      </c>
      <c r="M395" s="14">
        <f t="shared" si="10"/>
        <v>-50</v>
      </c>
      <c r="N395" s="14">
        <f t="shared" si="11"/>
        <v>50</v>
      </c>
    </row>
    <row r="396" spans="1:14" ht="12.75" x14ac:dyDescent="0.2">
      <c r="A396" s="1" t="s">
        <v>1006</v>
      </c>
      <c r="B396" s="3" t="s">
        <v>1007</v>
      </c>
      <c r="C396" s="4">
        <v>43380</v>
      </c>
      <c r="D396" s="2">
        <v>0.52083333333333337</v>
      </c>
      <c r="E396" s="1" t="s">
        <v>357</v>
      </c>
      <c r="F396" s="5">
        <v>1</v>
      </c>
      <c r="G396" s="5">
        <v>0</v>
      </c>
      <c r="H396" s="1">
        <v>1.68</v>
      </c>
      <c r="I396" s="1">
        <v>3.91</v>
      </c>
      <c r="J396" s="1">
        <v>4.92</v>
      </c>
      <c r="K396" s="6">
        <f>+H396-J396</f>
        <v>-3.24</v>
      </c>
      <c r="L396" s="7" t="str">
        <f>IF(F396-G396&gt;0,"Win","Loss")</f>
        <v>Win</v>
      </c>
      <c r="M396" s="14">
        <f t="shared" si="10"/>
        <v>34</v>
      </c>
      <c r="N396" s="14">
        <f t="shared" si="11"/>
        <v>50</v>
      </c>
    </row>
    <row r="397" spans="1:14" ht="12.75" x14ac:dyDescent="0.2">
      <c r="A397" s="1" t="s">
        <v>1006</v>
      </c>
      <c r="B397" s="3" t="s">
        <v>1007</v>
      </c>
      <c r="C397" s="4">
        <v>43380</v>
      </c>
      <c r="D397" s="2">
        <v>0.52083333333333337</v>
      </c>
      <c r="E397" s="1" t="s">
        <v>358</v>
      </c>
      <c r="F397" s="5">
        <v>1</v>
      </c>
      <c r="G397" s="5">
        <v>0</v>
      </c>
      <c r="H397" s="1">
        <v>4.92</v>
      </c>
      <c r="I397" s="1">
        <v>4.22</v>
      </c>
      <c r="J397" s="1">
        <v>1.62</v>
      </c>
      <c r="K397" s="6">
        <f>+H397-J397</f>
        <v>3.3</v>
      </c>
      <c r="L397" s="7" t="str">
        <f>IF(F397-G397&gt;0,"Win","Loss")</f>
        <v>Win</v>
      </c>
      <c r="M397" s="14">
        <f t="shared" si="10"/>
        <v>196</v>
      </c>
      <c r="N397" s="14">
        <f t="shared" si="11"/>
        <v>50</v>
      </c>
    </row>
    <row r="398" spans="1:14" ht="12.75" x14ac:dyDescent="0.2">
      <c r="A398" s="1" t="s">
        <v>1018</v>
      </c>
      <c r="B398" s="3" t="s">
        <v>1019</v>
      </c>
      <c r="C398" s="4">
        <v>43380</v>
      </c>
      <c r="D398" s="2">
        <v>0.5625</v>
      </c>
      <c r="E398" s="1" t="s">
        <v>639</v>
      </c>
      <c r="F398" s="5">
        <v>2</v>
      </c>
      <c r="G398" s="5">
        <v>1</v>
      </c>
      <c r="H398" s="1">
        <v>3.01</v>
      </c>
      <c r="I398" s="1">
        <v>3.03</v>
      </c>
      <c r="J398" s="1">
        <v>2.27</v>
      </c>
      <c r="K398" s="6">
        <f>+H398-J398</f>
        <v>0.73999999999999977</v>
      </c>
      <c r="L398" s="7" t="str">
        <f>IF(F398-G398&gt;0,"Win","Loss")</f>
        <v>Win</v>
      </c>
      <c r="M398" s="14">
        <f t="shared" ref="M398:M461" si="12">IF(L398="Win",(H398*N398)-N398,-N398)</f>
        <v>100.5</v>
      </c>
      <c r="N398" s="14">
        <f t="shared" ref="N398:N461" si="13">+$M$1</f>
        <v>50</v>
      </c>
    </row>
    <row r="399" spans="1:14" ht="12.75" x14ac:dyDescent="0.2">
      <c r="A399" s="1" t="s">
        <v>1000</v>
      </c>
      <c r="B399" s="3" t="s">
        <v>1001</v>
      </c>
      <c r="C399" s="4">
        <v>43382</v>
      </c>
      <c r="D399" s="2">
        <v>3.472222222222222E-3</v>
      </c>
      <c r="E399" s="1" t="s">
        <v>210</v>
      </c>
      <c r="F399" s="5">
        <v>3</v>
      </c>
      <c r="G399" s="5">
        <v>1</v>
      </c>
      <c r="H399" s="1">
        <v>2.12</v>
      </c>
      <c r="I399" s="1">
        <v>2.81</v>
      </c>
      <c r="J399" s="1">
        <v>3.86</v>
      </c>
      <c r="K399" s="6">
        <f>+H399-J399</f>
        <v>-1.7399999999999998</v>
      </c>
      <c r="L399" s="7" t="str">
        <f>IF(F399-G399&gt;0,"Win","Loss")</f>
        <v>Win</v>
      </c>
      <c r="M399" s="14">
        <f t="shared" si="12"/>
        <v>56</v>
      </c>
      <c r="N399" s="14">
        <f t="shared" si="13"/>
        <v>50</v>
      </c>
    </row>
    <row r="400" spans="1:14" ht="12.75" x14ac:dyDescent="0.2">
      <c r="A400" s="1" t="s">
        <v>1000</v>
      </c>
      <c r="B400" s="3" t="s">
        <v>1001</v>
      </c>
      <c r="C400" s="4">
        <v>43386</v>
      </c>
      <c r="D400" s="2">
        <v>0.83333333333333337</v>
      </c>
      <c r="E400" s="1" t="s">
        <v>207</v>
      </c>
      <c r="F400" s="5">
        <v>1</v>
      </c>
      <c r="G400" s="5">
        <v>0</v>
      </c>
      <c r="H400" s="1">
        <v>2.4500000000000002</v>
      </c>
      <c r="I400" s="1">
        <v>2.79</v>
      </c>
      <c r="J400" s="1">
        <v>3.21</v>
      </c>
      <c r="K400" s="6">
        <f>+H400-J400</f>
        <v>-0.75999999999999979</v>
      </c>
      <c r="L400" s="7" t="str">
        <f>IF(F400-G400&gt;0,"Win","Loss")</f>
        <v>Win</v>
      </c>
      <c r="M400" s="14">
        <f t="shared" si="12"/>
        <v>72.500000000000014</v>
      </c>
      <c r="N400" s="14">
        <f t="shared" si="13"/>
        <v>50</v>
      </c>
    </row>
    <row r="401" spans="1:14" ht="12.75" x14ac:dyDescent="0.2">
      <c r="A401" s="1" t="s">
        <v>1000</v>
      </c>
      <c r="B401" s="3" t="s">
        <v>1001</v>
      </c>
      <c r="C401" s="4">
        <v>43386</v>
      </c>
      <c r="D401" s="2">
        <v>0.77083333333333337</v>
      </c>
      <c r="E401" s="1" t="s">
        <v>208</v>
      </c>
      <c r="F401" s="5">
        <v>3</v>
      </c>
      <c r="G401" s="5">
        <v>0</v>
      </c>
      <c r="H401" s="1">
        <v>1.89</v>
      </c>
      <c r="I401" s="1">
        <v>3.08</v>
      </c>
      <c r="J401" s="1">
        <v>4.33</v>
      </c>
      <c r="K401" s="6">
        <f>+H401-J401</f>
        <v>-2.4400000000000004</v>
      </c>
      <c r="L401" s="7" t="str">
        <f>IF(F401-G401&gt;0,"Win","Loss")</f>
        <v>Win</v>
      </c>
      <c r="M401" s="14">
        <f t="shared" si="12"/>
        <v>44.5</v>
      </c>
      <c r="N401" s="14">
        <f t="shared" si="13"/>
        <v>50</v>
      </c>
    </row>
    <row r="402" spans="1:14" ht="12.75" x14ac:dyDescent="0.2">
      <c r="A402" s="1" t="s">
        <v>1000</v>
      </c>
      <c r="B402" s="3" t="s">
        <v>1001</v>
      </c>
      <c r="C402" s="4">
        <v>43386</v>
      </c>
      <c r="D402" s="2">
        <v>0.77083333333333337</v>
      </c>
      <c r="E402" s="1" t="s">
        <v>209</v>
      </c>
      <c r="F402" s="5">
        <v>1</v>
      </c>
      <c r="G402" s="5">
        <v>1</v>
      </c>
      <c r="H402" s="1">
        <v>2.35</v>
      </c>
      <c r="I402" s="1">
        <v>2.81</v>
      </c>
      <c r="J402" s="1">
        <v>3.33</v>
      </c>
      <c r="K402" s="6">
        <f>+H402-J402</f>
        <v>-0.98</v>
      </c>
      <c r="L402" s="7" t="str">
        <f>IF(F402-G402&gt;0,"Win","Loss")</f>
        <v>Loss</v>
      </c>
      <c r="M402" s="14">
        <f t="shared" si="12"/>
        <v>-50</v>
      </c>
      <c r="N402" s="14">
        <f t="shared" si="13"/>
        <v>50</v>
      </c>
    </row>
    <row r="403" spans="1:14" ht="12.75" x14ac:dyDescent="0.2">
      <c r="A403" s="1" t="s">
        <v>1018</v>
      </c>
      <c r="B403" s="3" t="s">
        <v>1019</v>
      </c>
      <c r="C403" s="4">
        <v>43386</v>
      </c>
      <c r="D403" s="2">
        <v>0.54166666666666663</v>
      </c>
      <c r="E403" s="1" t="s">
        <v>633</v>
      </c>
      <c r="F403" s="5">
        <v>1</v>
      </c>
      <c r="G403" s="5">
        <v>2</v>
      </c>
      <c r="H403" s="1">
        <v>2.15</v>
      </c>
      <c r="I403" s="1">
        <v>3.12</v>
      </c>
      <c r="J403" s="1">
        <v>3.2</v>
      </c>
      <c r="K403" s="6">
        <f>+H403-J403</f>
        <v>-1.0500000000000003</v>
      </c>
      <c r="L403" s="7" t="str">
        <f>IF(F403-G403&gt;0,"Win","Loss")</f>
        <v>Loss</v>
      </c>
      <c r="M403" s="14">
        <f t="shared" si="12"/>
        <v>-50</v>
      </c>
      <c r="N403" s="14">
        <f t="shared" si="13"/>
        <v>50</v>
      </c>
    </row>
    <row r="404" spans="1:14" ht="12.75" x14ac:dyDescent="0.2">
      <c r="A404" s="1" t="s">
        <v>1018</v>
      </c>
      <c r="B404" s="3" t="s">
        <v>1019</v>
      </c>
      <c r="C404" s="4">
        <v>43386</v>
      </c>
      <c r="D404" s="2">
        <v>0.54166666666666663</v>
      </c>
      <c r="E404" s="1" t="s">
        <v>634</v>
      </c>
      <c r="F404" s="5">
        <v>1</v>
      </c>
      <c r="G404" s="5">
        <v>4</v>
      </c>
      <c r="H404" s="1">
        <v>2.08</v>
      </c>
      <c r="I404" s="1">
        <v>3.24</v>
      </c>
      <c r="J404" s="1">
        <v>3.28</v>
      </c>
      <c r="K404" s="6">
        <f>+H404-J404</f>
        <v>-1.1999999999999997</v>
      </c>
      <c r="L404" s="7" t="str">
        <f>IF(F404-G404&gt;0,"Win","Loss")</f>
        <v>Loss</v>
      </c>
      <c r="M404" s="14">
        <f t="shared" si="12"/>
        <v>-50</v>
      </c>
      <c r="N404" s="14">
        <f t="shared" si="13"/>
        <v>50</v>
      </c>
    </row>
    <row r="405" spans="1:14" ht="12.75" x14ac:dyDescent="0.2">
      <c r="A405" s="1" t="s">
        <v>1018</v>
      </c>
      <c r="B405" s="3" t="s">
        <v>1019</v>
      </c>
      <c r="C405" s="4">
        <v>43386</v>
      </c>
      <c r="D405" s="2">
        <v>0.54166666666666663</v>
      </c>
      <c r="E405" s="1" t="s">
        <v>635</v>
      </c>
      <c r="F405" s="5">
        <v>3</v>
      </c>
      <c r="G405" s="5">
        <v>0</v>
      </c>
      <c r="H405" s="1">
        <v>3.14</v>
      </c>
      <c r="I405" s="1">
        <v>3.19</v>
      </c>
      <c r="J405" s="1">
        <v>2.1</v>
      </c>
      <c r="K405" s="6">
        <f>+H405-J405</f>
        <v>1.04</v>
      </c>
      <c r="L405" s="7" t="str">
        <f>IF(F405-G405&gt;0,"Win","Loss")</f>
        <v>Win</v>
      </c>
      <c r="M405" s="14">
        <f t="shared" si="12"/>
        <v>107</v>
      </c>
      <c r="N405" s="14">
        <f t="shared" si="13"/>
        <v>50</v>
      </c>
    </row>
    <row r="406" spans="1:14" ht="12.75" x14ac:dyDescent="0.2">
      <c r="A406" s="1" t="s">
        <v>1018</v>
      </c>
      <c r="B406" s="3" t="s">
        <v>1019</v>
      </c>
      <c r="C406" s="4">
        <v>43386</v>
      </c>
      <c r="D406" s="2">
        <v>0.54166666666666663</v>
      </c>
      <c r="E406" s="1" t="s">
        <v>636</v>
      </c>
      <c r="F406" s="5">
        <v>1</v>
      </c>
      <c r="G406" s="5">
        <v>0</v>
      </c>
      <c r="H406" s="1">
        <v>1.47</v>
      </c>
      <c r="I406" s="1">
        <v>4.05</v>
      </c>
      <c r="J406" s="1">
        <v>5.74</v>
      </c>
      <c r="K406" s="6">
        <f>+H406-J406</f>
        <v>-4.2700000000000005</v>
      </c>
      <c r="L406" s="7" t="str">
        <f>IF(F406-G406&gt;0,"Win","Loss")</f>
        <v>Win</v>
      </c>
      <c r="M406" s="14">
        <f t="shared" si="12"/>
        <v>23.5</v>
      </c>
      <c r="N406" s="14">
        <f t="shared" si="13"/>
        <v>50</v>
      </c>
    </row>
    <row r="407" spans="1:14" ht="12.75" x14ac:dyDescent="0.2">
      <c r="A407" s="1" t="s">
        <v>1018</v>
      </c>
      <c r="B407" s="3" t="s">
        <v>1019</v>
      </c>
      <c r="C407" s="4">
        <v>43386</v>
      </c>
      <c r="D407" s="2">
        <v>0.54166666666666663</v>
      </c>
      <c r="E407" s="1" t="s">
        <v>637</v>
      </c>
      <c r="F407" s="5">
        <v>3</v>
      </c>
      <c r="G407" s="5">
        <v>0</v>
      </c>
      <c r="H407" s="1">
        <v>1.86</v>
      </c>
      <c r="I407" s="1">
        <v>3.39</v>
      </c>
      <c r="J407" s="1">
        <v>3.76</v>
      </c>
      <c r="K407" s="6">
        <f>+H407-J407</f>
        <v>-1.8999999999999997</v>
      </c>
      <c r="L407" s="7" t="str">
        <f>IF(F407-G407&gt;0,"Win","Loss")</f>
        <v>Win</v>
      </c>
      <c r="M407" s="14">
        <f t="shared" si="12"/>
        <v>43</v>
      </c>
      <c r="N407" s="14">
        <f t="shared" si="13"/>
        <v>50</v>
      </c>
    </row>
    <row r="408" spans="1:14" ht="12.75" x14ac:dyDescent="0.2">
      <c r="A408" s="1" t="s">
        <v>1018</v>
      </c>
      <c r="B408" s="3" t="s">
        <v>1019</v>
      </c>
      <c r="C408" s="4">
        <v>43386</v>
      </c>
      <c r="D408" s="2">
        <v>0.54166666666666663</v>
      </c>
      <c r="E408" s="1" t="s">
        <v>638</v>
      </c>
      <c r="F408" s="5">
        <v>1</v>
      </c>
      <c r="G408" s="5">
        <v>1</v>
      </c>
      <c r="H408" s="1">
        <v>2.84</v>
      </c>
      <c r="I408" s="1">
        <v>3.02</v>
      </c>
      <c r="J408" s="1">
        <v>2.39</v>
      </c>
      <c r="K408" s="6">
        <f>+H408-J408</f>
        <v>0.44999999999999973</v>
      </c>
      <c r="L408" s="7" t="str">
        <f>IF(F408-G408&gt;0,"Win","Loss")</f>
        <v>Loss</v>
      </c>
      <c r="M408" s="14">
        <f t="shared" si="12"/>
        <v>-50</v>
      </c>
      <c r="N408" s="14">
        <f t="shared" si="13"/>
        <v>50</v>
      </c>
    </row>
    <row r="409" spans="1:14" ht="12.75" x14ac:dyDescent="0.2">
      <c r="A409" s="1" t="s">
        <v>1018</v>
      </c>
      <c r="B409" s="3" t="s">
        <v>1019</v>
      </c>
      <c r="C409" s="4">
        <v>43387</v>
      </c>
      <c r="D409" s="2">
        <v>0.54166666666666663</v>
      </c>
      <c r="E409" s="1" t="s">
        <v>632</v>
      </c>
      <c r="F409" s="5">
        <v>2</v>
      </c>
      <c r="G409" s="5">
        <v>0</v>
      </c>
      <c r="H409" s="1">
        <v>1.52</v>
      </c>
      <c r="I409" s="1">
        <v>3.99</v>
      </c>
      <c r="J409" s="1">
        <v>5.3</v>
      </c>
      <c r="K409" s="6">
        <f>+H409-J409</f>
        <v>-3.78</v>
      </c>
      <c r="L409" s="7" t="str">
        <f>IF(F409-G409&gt;0,"Win","Loss")</f>
        <v>Win</v>
      </c>
      <c r="M409" s="14">
        <f t="shared" si="12"/>
        <v>26</v>
      </c>
      <c r="N409" s="14">
        <f t="shared" si="13"/>
        <v>50</v>
      </c>
    </row>
    <row r="410" spans="1:14" ht="12.75" x14ac:dyDescent="0.2">
      <c r="A410" s="1" t="s">
        <v>1000</v>
      </c>
      <c r="B410" s="3" t="s">
        <v>1001</v>
      </c>
      <c r="C410" s="4">
        <v>43392</v>
      </c>
      <c r="D410" s="2">
        <v>0.77083333333333337</v>
      </c>
      <c r="E410" s="1" t="s">
        <v>205</v>
      </c>
      <c r="F410" s="5">
        <v>1</v>
      </c>
      <c r="G410" s="5">
        <v>2</v>
      </c>
      <c r="H410" s="1">
        <v>1.89</v>
      </c>
      <c r="I410" s="1">
        <v>3.13</v>
      </c>
      <c r="J410" s="1">
        <v>4.42</v>
      </c>
      <c r="K410" s="6">
        <f>+H410-J410</f>
        <v>-2.5300000000000002</v>
      </c>
      <c r="L410" s="7" t="str">
        <f>IF(F410-G410&gt;0,"Win","Loss")</f>
        <v>Loss</v>
      </c>
      <c r="M410" s="14">
        <f t="shared" si="12"/>
        <v>-50</v>
      </c>
      <c r="N410" s="14">
        <f t="shared" si="13"/>
        <v>50</v>
      </c>
    </row>
    <row r="411" spans="1:14" ht="12.75" x14ac:dyDescent="0.2">
      <c r="A411" s="1" t="s">
        <v>1000</v>
      </c>
      <c r="B411" s="3" t="s">
        <v>1001</v>
      </c>
      <c r="C411" s="4">
        <v>43392</v>
      </c>
      <c r="D411" s="2">
        <v>0.77083333333333337</v>
      </c>
      <c r="E411" s="1" t="s">
        <v>206</v>
      </c>
      <c r="F411" s="5">
        <v>1</v>
      </c>
      <c r="G411" s="5">
        <v>0</v>
      </c>
      <c r="H411" s="1">
        <v>2.19</v>
      </c>
      <c r="I411" s="1">
        <v>2.95</v>
      </c>
      <c r="J411" s="1">
        <v>3.55</v>
      </c>
      <c r="K411" s="6">
        <f>+H411-J411</f>
        <v>-1.3599999999999999</v>
      </c>
      <c r="L411" s="7" t="str">
        <f>IF(F411-G411&gt;0,"Win","Loss")</f>
        <v>Win</v>
      </c>
      <c r="M411" s="14">
        <f t="shared" si="12"/>
        <v>59.5</v>
      </c>
      <c r="N411" s="14">
        <f t="shared" si="13"/>
        <v>50</v>
      </c>
    </row>
    <row r="412" spans="1:14" ht="12.75" x14ac:dyDescent="0.2">
      <c r="A412" s="1" t="s">
        <v>1000</v>
      </c>
      <c r="B412" s="3" t="s">
        <v>1001</v>
      </c>
      <c r="C412" s="4">
        <v>43393</v>
      </c>
      <c r="D412" s="2">
        <v>0.875</v>
      </c>
      <c r="E412" s="1" t="s">
        <v>202</v>
      </c>
      <c r="F412" s="5">
        <v>0</v>
      </c>
      <c r="G412" s="5">
        <v>0</v>
      </c>
      <c r="H412" s="1">
        <v>2.19</v>
      </c>
      <c r="I412" s="1">
        <v>2.78</v>
      </c>
      <c r="J412" s="1">
        <v>3.82</v>
      </c>
      <c r="K412" s="6">
        <f>+H412-J412</f>
        <v>-1.63</v>
      </c>
      <c r="L412" s="7" t="str">
        <f>IF(F412-G412&gt;0,"Win","Loss")</f>
        <v>Loss</v>
      </c>
      <c r="M412" s="14">
        <f t="shared" si="12"/>
        <v>-50</v>
      </c>
      <c r="N412" s="14">
        <f t="shared" si="13"/>
        <v>50</v>
      </c>
    </row>
    <row r="413" spans="1:14" ht="12.75" x14ac:dyDescent="0.2">
      <c r="A413" s="1" t="s">
        <v>1000</v>
      </c>
      <c r="B413" s="3" t="s">
        <v>1001</v>
      </c>
      <c r="C413" s="4">
        <v>43393</v>
      </c>
      <c r="D413" s="2">
        <v>0.625</v>
      </c>
      <c r="E413" s="1" t="s">
        <v>203</v>
      </c>
      <c r="F413" s="5">
        <v>0</v>
      </c>
      <c r="G413" s="5">
        <v>0</v>
      </c>
      <c r="H413" s="1">
        <v>2.42</v>
      </c>
      <c r="I413" s="1">
        <v>2.83</v>
      </c>
      <c r="J413" s="1">
        <v>3.19</v>
      </c>
      <c r="K413" s="6">
        <f>+H413-J413</f>
        <v>-0.77</v>
      </c>
      <c r="L413" s="7" t="str">
        <f>IF(F413-G413&gt;0,"Win","Loss")</f>
        <v>Loss</v>
      </c>
      <c r="M413" s="14">
        <f t="shared" si="12"/>
        <v>-50</v>
      </c>
      <c r="N413" s="14">
        <f t="shared" si="13"/>
        <v>50</v>
      </c>
    </row>
    <row r="414" spans="1:14" ht="12.75" x14ac:dyDescent="0.2">
      <c r="A414" s="1" t="s">
        <v>1000</v>
      </c>
      <c r="B414" s="3" t="s">
        <v>1001</v>
      </c>
      <c r="C414" s="4">
        <v>43393</v>
      </c>
      <c r="D414" s="2">
        <v>0</v>
      </c>
      <c r="E414" s="1" t="s">
        <v>204</v>
      </c>
      <c r="F414" s="5">
        <v>2</v>
      </c>
      <c r="G414" s="5">
        <v>0</v>
      </c>
      <c r="H414" s="1">
        <v>2.06</v>
      </c>
      <c r="I414" s="1">
        <v>2.98</v>
      </c>
      <c r="J414" s="1">
        <v>3.89</v>
      </c>
      <c r="K414" s="6">
        <f>+H414-J414</f>
        <v>-1.83</v>
      </c>
      <c r="L414" s="7" t="str">
        <f>IF(F414-G414&gt;0,"Win","Loss")</f>
        <v>Win</v>
      </c>
      <c r="M414" s="14">
        <f t="shared" si="12"/>
        <v>53</v>
      </c>
      <c r="N414" s="14">
        <f t="shared" si="13"/>
        <v>50</v>
      </c>
    </row>
    <row r="415" spans="1:14" ht="12.75" x14ac:dyDescent="0.2">
      <c r="A415" s="1" t="s">
        <v>1006</v>
      </c>
      <c r="B415" s="3" t="s">
        <v>1007</v>
      </c>
      <c r="C415" s="4">
        <v>43393</v>
      </c>
      <c r="D415" s="2">
        <v>0.625</v>
      </c>
      <c r="E415" s="1" t="s">
        <v>353</v>
      </c>
      <c r="F415" s="5">
        <v>3</v>
      </c>
      <c r="G415" s="5">
        <v>0</v>
      </c>
      <c r="H415" s="1">
        <v>5.14</v>
      </c>
      <c r="I415" s="1">
        <v>4.5</v>
      </c>
      <c r="J415" s="1">
        <v>1.56</v>
      </c>
      <c r="K415" s="6">
        <f>+H415-J415</f>
        <v>3.5799999999999996</v>
      </c>
      <c r="L415" s="7" t="str">
        <f>IF(F415-G415&gt;0,"Win","Loss")</f>
        <v>Win</v>
      </c>
      <c r="M415" s="14">
        <f t="shared" si="12"/>
        <v>207</v>
      </c>
      <c r="N415" s="14">
        <f t="shared" si="13"/>
        <v>50</v>
      </c>
    </row>
    <row r="416" spans="1:14" ht="12.75" x14ac:dyDescent="0.2">
      <c r="A416" s="1" t="s">
        <v>1006</v>
      </c>
      <c r="B416" s="3" t="s">
        <v>1007</v>
      </c>
      <c r="C416" s="4">
        <v>43393</v>
      </c>
      <c r="D416" s="2">
        <v>0.625</v>
      </c>
      <c r="E416" s="1" t="s">
        <v>354</v>
      </c>
      <c r="F416" s="5">
        <v>1</v>
      </c>
      <c r="G416" s="5">
        <v>1</v>
      </c>
      <c r="H416" s="1">
        <v>1.39</v>
      </c>
      <c r="I416" s="1">
        <v>4.63</v>
      </c>
      <c r="J416" s="1">
        <v>7.89</v>
      </c>
      <c r="K416" s="6">
        <f>+H416-J416</f>
        <v>-6.5</v>
      </c>
      <c r="L416" s="7" t="str">
        <f>IF(F416-G416&gt;0,"Win","Loss")</f>
        <v>Loss</v>
      </c>
      <c r="M416" s="14">
        <f t="shared" si="12"/>
        <v>-50</v>
      </c>
      <c r="N416" s="14">
        <f t="shared" si="13"/>
        <v>50</v>
      </c>
    </row>
    <row r="417" spans="1:14" ht="12.75" x14ac:dyDescent="0.2">
      <c r="A417" s="1" t="s">
        <v>1006</v>
      </c>
      <c r="B417" s="3" t="s">
        <v>1007</v>
      </c>
      <c r="C417" s="4">
        <v>43393</v>
      </c>
      <c r="D417" s="2">
        <v>0.625</v>
      </c>
      <c r="E417" s="1" t="s">
        <v>355</v>
      </c>
      <c r="F417" s="5">
        <v>1</v>
      </c>
      <c r="G417" s="5">
        <v>1</v>
      </c>
      <c r="H417" s="1">
        <v>1.1100000000000001</v>
      </c>
      <c r="I417" s="1">
        <v>9.18</v>
      </c>
      <c r="J417" s="1">
        <v>21.08</v>
      </c>
      <c r="K417" s="6">
        <f>+H417-J417</f>
        <v>-19.97</v>
      </c>
      <c r="L417" s="7" t="str">
        <f>IF(F417-G417&gt;0,"Win","Loss")</f>
        <v>Loss</v>
      </c>
      <c r="M417" s="14">
        <f t="shared" si="12"/>
        <v>-50</v>
      </c>
      <c r="N417" s="14">
        <f t="shared" si="13"/>
        <v>50</v>
      </c>
    </row>
    <row r="418" spans="1:14" ht="12.75" x14ac:dyDescent="0.2">
      <c r="A418" s="1" t="s">
        <v>1018</v>
      </c>
      <c r="B418" s="3" t="s">
        <v>1019</v>
      </c>
      <c r="C418" s="4">
        <v>43393</v>
      </c>
      <c r="D418" s="2">
        <v>0.54166666666666663</v>
      </c>
      <c r="E418" s="1" t="s">
        <v>629</v>
      </c>
      <c r="F418" s="5">
        <v>1</v>
      </c>
      <c r="G418" s="5">
        <v>0</v>
      </c>
      <c r="H418" s="1">
        <v>2.29</v>
      </c>
      <c r="I418" s="1">
        <v>3.17</v>
      </c>
      <c r="J418" s="1">
        <v>2.79</v>
      </c>
      <c r="K418" s="6">
        <f>+H418-J418</f>
        <v>-0.5</v>
      </c>
      <c r="L418" s="7" t="str">
        <f>IF(F418-G418&gt;0,"Win","Loss")</f>
        <v>Win</v>
      </c>
      <c r="M418" s="14">
        <f t="shared" si="12"/>
        <v>64.5</v>
      </c>
      <c r="N418" s="14">
        <f t="shared" si="13"/>
        <v>50</v>
      </c>
    </row>
    <row r="419" spans="1:14" ht="12.75" x14ac:dyDescent="0.2">
      <c r="A419" s="1" t="s">
        <v>1018</v>
      </c>
      <c r="B419" s="3" t="s">
        <v>1019</v>
      </c>
      <c r="C419" s="4">
        <v>43393</v>
      </c>
      <c r="D419" s="2">
        <v>0.54166666666666663</v>
      </c>
      <c r="E419" s="1" t="s">
        <v>630</v>
      </c>
      <c r="F419" s="5">
        <v>2</v>
      </c>
      <c r="G419" s="5">
        <v>2</v>
      </c>
      <c r="H419" s="1">
        <v>1.65</v>
      </c>
      <c r="I419" s="1">
        <v>3.5</v>
      </c>
      <c r="J419" s="1">
        <v>4.74</v>
      </c>
      <c r="K419" s="6">
        <f>+H419-J419</f>
        <v>-3.0900000000000003</v>
      </c>
      <c r="L419" s="7" t="str">
        <f>IF(F419-G419&gt;0,"Win","Loss")</f>
        <v>Loss</v>
      </c>
      <c r="M419" s="14">
        <f t="shared" si="12"/>
        <v>-50</v>
      </c>
      <c r="N419" s="14">
        <f t="shared" si="13"/>
        <v>50</v>
      </c>
    </row>
    <row r="420" spans="1:14" ht="12.75" x14ac:dyDescent="0.2">
      <c r="A420" s="1" t="s">
        <v>1018</v>
      </c>
      <c r="B420" s="3" t="s">
        <v>1019</v>
      </c>
      <c r="C420" s="4">
        <v>43393</v>
      </c>
      <c r="D420" s="2">
        <v>0.45833333333333331</v>
      </c>
      <c r="E420" s="1" t="s">
        <v>631</v>
      </c>
      <c r="F420" s="5">
        <v>2</v>
      </c>
      <c r="G420" s="5">
        <v>1</v>
      </c>
      <c r="H420" s="1">
        <v>2.0299999999999998</v>
      </c>
      <c r="I420" s="1">
        <v>3.23</v>
      </c>
      <c r="J420" s="1">
        <v>3.23</v>
      </c>
      <c r="K420" s="6">
        <f>+H420-J420</f>
        <v>-1.2000000000000002</v>
      </c>
      <c r="L420" s="7" t="str">
        <f>IF(F420-G420&gt;0,"Win","Loss")</f>
        <v>Win</v>
      </c>
      <c r="M420" s="14">
        <f t="shared" si="12"/>
        <v>51.499999999999986</v>
      </c>
      <c r="N420" s="14">
        <f t="shared" si="13"/>
        <v>50</v>
      </c>
    </row>
    <row r="421" spans="1:14" ht="12.75" x14ac:dyDescent="0.2">
      <c r="A421" s="1" t="s">
        <v>1000</v>
      </c>
      <c r="B421" s="3" t="s">
        <v>1001</v>
      </c>
      <c r="C421" s="4">
        <v>43394</v>
      </c>
      <c r="D421" s="2">
        <v>0.83333333333333337</v>
      </c>
      <c r="E421" s="1" t="s">
        <v>196</v>
      </c>
      <c r="F421" s="5">
        <v>1</v>
      </c>
      <c r="G421" s="5">
        <v>0</v>
      </c>
      <c r="H421" s="1">
        <v>2.4</v>
      </c>
      <c r="I421" s="1">
        <v>2.73</v>
      </c>
      <c r="J421" s="1">
        <v>3.37</v>
      </c>
      <c r="K421" s="6">
        <f>+H421-J421</f>
        <v>-0.9700000000000002</v>
      </c>
      <c r="L421" s="7" t="str">
        <f>IF(F421-G421&gt;0,"Win","Loss")</f>
        <v>Win</v>
      </c>
      <c r="M421" s="14">
        <f t="shared" si="12"/>
        <v>70</v>
      </c>
      <c r="N421" s="14">
        <f t="shared" si="13"/>
        <v>50</v>
      </c>
    </row>
    <row r="422" spans="1:14" ht="12.75" x14ac:dyDescent="0.2">
      <c r="A422" s="1" t="s">
        <v>1000</v>
      </c>
      <c r="B422" s="3" t="s">
        <v>1001</v>
      </c>
      <c r="C422" s="4">
        <v>43394</v>
      </c>
      <c r="D422" s="2">
        <v>0.83333333333333337</v>
      </c>
      <c r="E422" s="1" t="s">
        <v>197</v>
      </c>
      <c r="F422" s="5">
        <v>0</v>
      </c>
      <c r="G422" s="5">
        <v>2</v>
      </c>
      <c r="H422" s="1">
        <v>2.35</v>
      </c>
      <c r="I422" s="1">
        <v>2.85</v>
      </c>
      <c r="J422" s="1">
        <v>3.3</v>
      </c>
      <c r="K422" s="6">
        <f>+H422-J422</f>
        <v>-0.94999999999999973</v>
      </c>
      <c r="L422" s="7" t="str">
        <f>IF(F422-G422&gt;0,"Win","Loss")</f>
        <v>Loss</v>
      </c>
      <c r="M422" s="14">
        <f t="shared" si="12"/>
        <v>-50</v>
      </c>
      <c r="N422" s="14">
        <f t="shared" si="13"/>
        <v>50</v>
      </c>
    </row>
    <row r="423" spans="1:14" ht="12.75" x14ac:dyDescent="0.2">
      <c r="A423" s="1" t="s">
        <v>1000</v>
      </c>
      <c r="B423" s="3" t="s">
        <v>1001</v>
      </c>
      <c r="C423" s="4">
        <v>43394</v>
      </c>
      <c r="D423" s="2">
        <v>0.73263888888888884</v>
      </c>
      <c r="E423" s="1" t="s">
        <v>198</v>
      </c>
      <c r="F423" s="5">
        <v>1</v>
      </c>
      <c r="G423" s="5">
        <v>2</v>
      </c>
      <c r="H423" s="1">
        <v>2.2599999999999998</v>
      </c>
      <c r="I423" s="1">
        <v>2.84</v>
      </c>
      <c r="J423" s="1">
        <v>3.51</v>
      </c>
      <c r="K423" s="6">
        <f>+H423-J423</f>
        <v>-1.25</v>
      </c>
      <c r="L423" s="7" t="str">
        <f>IF(F423-G423&gt;0,"Win","Loss")</f>
        <v>Loss</v>
      </c>
      <c r="M423" s="14">
        <f t="shared" si="12"/>
        <v>-50</v>
      </c>
      <c r="N423" s="14">
        <f t="shared" si="13"/>
        <v>50</v>
      </c>
    </row>
    <row r="424" spans="1:14" ht="12.75" x14ac:dyDescent="0.2">
      <c r="A424" s="1" t="s">
        <v>1000</v>
      </c>
      <c r="B424" s="3" t="s">
        <v>1001</v>
      </c>
      <c r="C424" s="4">
        <v>43394</v>
      </c>
      <c r="D424" s="2">
        <v>0.96180555555555547</v>
      </c>
      <c r="E424" s="1" t="s">
        <v>199</v>
      </c>
      <c r="F424" s="5">
        <v>0</v>
      </c>
      <c r="G424" s="5">
        <v>0</v>
      </c>
      <c r="H424" s="1">
        <v>2.23</v>
      </c>
      <c r="I424" s="1">
        <v>2.78</v>
      </c>
      <c r="J424" s="1">
        <v>3.7</v>
      </c>
      <c r="K424" s="6">
        <f>+H424-J424</f>
        <v>-1.4700000000000002</v>
      </c>
      <c r="L424" s="7" t="str">
        <f>IF(F424-G424&gt;0,"Win","Loss")</f>
        <v>Loss</v>
      </c>
      <c r="M424" s="14">
        <f t="shared" si="12"/>
        <v>-50</v>
      </c>
      <c r="N424" s="14">
        <f t="shared" si="13"/>
        <v>50</v>
      </c>
    </row>
    <row r="425" spans="1:14" ht="12.75" x14ac:dyDescent="0.2">
      <c r="A425" s="1" t="s">
        <v>1000</v>
      </c>
      <c r="B425" s="3" t="s">
        <v>1001</v>
      </c>
      <c r="C425" s="4">
        <v>43394</v>
      </c>
      <c r="D425" s="2">
        <v>0.96180555555555547</v>
      </c>
      <c r="E425" s="1" t="s">
        <v>200</v>
      </c>
      <c r="F425" s="5">
        <v>1</v>
      </c>
      <c r="G425" s="5">
        <v>1</v>
      </c>
      <c r="H425" s="1">
        <v>2.38</v>
      </c>
      <c r="I425" s="1">
        <v>2.8</v>
      </c>
      <c r="J425" s="1">
        <v>3.31</v>
      </c>
      <c r="K425" s="6">
        <f>+H425-J425</f>
        <v>-0.93000000000000016</v>
      </c>
      <c r="L425" s="7" t="str">
        <f>IF(F425-G425&gt;0,"Win","Loss")</f>
        <v>Loss</v>
      </c>
      <c r="M425" s="14">
        <f t="shared" si="12"/>
        <v>-50</v>
      </c>
      <c r="N425" s="14">
        <f t="shared" si="13"/>
        <v>50</v>
      </c>
    </row>
    <row r="426" spans="1:14" ht="12.75" x14ac:dyDescent="0.2">
      <c r="A426" s="1" t="s">
        <v>1000</v>
      </c>
      <c r="B426" s="3" t="s">
        <v>1001</v>
      </c>
      <c r="C426" s="4">
        <v>43394</v>
      </c>
      <c r="D426" s="2">
        <v>0.95833333333333337</v>
      </c>
      <c r="E426" s="1" t="s">
        <v>201</v>
      </c>
      <c r="F426" s="5">
        <v>0</v>
      </c>
      <c r="G426" s="5">
        <v>1</v>
      </c>
      <c r="H426" s="1">
        <v>2.61</v>
      </c>
      <c r="I426" s="1">
        <v>2.75</v>
      </c>
      <c r="J426" s="1">
        <v>2.99</v>
      </c>
      <c r="K426" s="6">
        <f>+H426-J426</f>
        <v>-0.38000000000000034</v>
      </c>
      <c r="L426" s="7" t="str">
        <f>IF(F426-G426&gt;0,"Win","Loss")</f>
        <v>Loss</v>
      </c>
      <c r="M426" s="14">
        <f t="shared" si="12"/>
        <v>-50</v>
      </c>
      <c r="N426" s="14">
        <f t="shared" si="13"/>
        <v>50</v>
      </c>
    </row>
    <row r="427" spans="1:14" ht="12.75" x14ac:dyDescent="0.2">
      <c r="A427" s="1" t="s">
        <v>1006</v>
      </c>
      <c r="B427" s="3" t="s">
        <v>1007</v>
      </c>
      <c r="C427" s="4">
        <v>43394</v>
      </c>
      <c r="D427" s="2">
        <v>0.625</v>
      </c>
      <c r="E427" s="1" t="s">
        <v>350</v>
      </c>
      <c r="F427" s="5">
        <v>1</v>
      </c>
      <c r="G427" s="5">
        <v>1</v>
      </c>
      <c r="H427" s="1">
        <v>2.35</v>
      </c>
      <c r="I427" s="1">
        <v>3.41</v>
      </c>
      <c r="J427" s="1">
        <v>2.95</v>
      </c>
      <c r="K427" s="6">
        <f>+H427-J427</f>
        <v>-0.60000000000000009</v>
      </c>
      <c r="L427" s="7" t="str">
        <f>IF(F427-G427&gt;0,"Win","Loss")</f>
        <v>Loss</v>
      </c>
      <c r="M427" s="14">
        <f t="shared" si="12"/>
        <v>-50</v>
      </c>
      <c r="N427" s="14">
        <f t="shared" si="13"/>
        <v>50</v>
      </c>
    </row>
    <row r="428" spans="1:14" ht="12.75" x14ac:dyDescent="0.2">
      <c r="A428" s="1" t="s">
        <v>1006</v>
      </c>
      <c r="B428" s="3" t="s">
        <v>1007</v>
      </c>
      <c r="C428" s="4">
        <v>43394</v>
      </c>
      <c r="D428" s="2">
        <v>0.52083333333333337</v>
      </c>
      <c r="E428" s="1" t="s">
        <v>351</v>
      </c>
      <c r="F428" s="5">
        <v>0</v>
      </c>
      <c r="G428" s="5">
        <v>0</v>
      </c>
      <c r="H428" s="1">
        <v>3.54</v>
      </c>
      <c r="I428" s="1">
        <v>3.74</v>
      </c>
      <c r="J428" s="1">
        <v>1.98</v>
      </c>
      <c r="K428" s="6">
        <f>+H428-J428</f>
        <v>1.56</v>
      </c>
      <c r="L428" s="7" t="str">
        <f>IF(F428-G428&gt;0,"Win","Loss")</f>
        <v>Loss</v>
      </c>
      <c r="M428" s="14">
        <f t="shared" si="12"/>
        <v>-50</v>
      </c>
      <c r="N428" s="14">
        <f t="shared" si="13"/>
        <v>50</v>
      </c>
    </row>
    <row r="429" spans="1:14" ht="12.75" x14ac:dyDescent="0.2">
      <c r="A429" s="1" t="s">
        <v>1006</v>
      </c>
      <c r="B429" s="3" t="s">
        <v>1007</v>
      </c>
      <c r="C429" s="4">
        <v>43394</v>
      </c>
      <c r="D429" s="2">
        <v>0.52083333333333337</v>
      </c>
      <c r="E429" s="1" t="s">
        <v>352</v>
      </c>
      <c r="F429" s="5">
        <v>2</v>
      </c>
      <c r="G429" s="5">
        <v>0</v>
      </c>
      <c r="H429" s="1">
        <v>2.1</v>
      </c>
      <c r="I429" s="1">
        <v>3.49</v>
      </c>
      <c r="J429" s="1">
        <v>3.42</v>
      </c>
      <c r="K429" s="6">
        <f>+H429-J429</f>
        <v>-1.3199999999999998</v>
      </c>
      <c r="L429" s="7" t="str">
        <f>IF(F429-G429&gt;0,"Win","Loss")</f>
        <v>Win</v>
      </c>
      <c r="M429" s="14">
        <f t="shared" si="12"/>
        <v>55</v>
      </c>
      <c r="N429" s="14">
        <f t="shared" si="13"/>
        <v>50</v>
      </c>
    </row>
    <row r="430" spans="1:14" ht="12.75" x14ac:dyDescent="0.2">
      <c r="A430" s="1" t="s">
        <v>1018</v>
      </c>
      <c r="B430" s="3" t="s">
        <v>1019</v>
      </c>
      <c r="C430" s="4">
        <v>43394</v>
      </c>
      <c r="D430" s="2">
        <v>0.54166666666666663</v>
      </c>
      <c r="E430" s="1" t="s">
        <v>626</v>
      </c>
      <c r="F430" s="5">
        <v>1</v>
      </c>
      <c r="G430" s="5">
        <v>1</v>
      </c>
      <c r="H430" s="1">
        <v>2.0499999999999998</v>
      </c>
      <c r="I430" s="1">
        <v>3.27</v>
      </c>
      <c r="J430" s="1">
        <v>3.29</v>
      </c>
      <c r="K430" s="6">
        <f>+H430-J430</f>
        <v>-1.2400000000000002</v>
      </c>
      <c r="L430" s="7" t="str">
        <f>IF(F430-G430&gt;0,"Win","Loss")</f>
        <v>Loss</v>
      </c>
      <c r="M430" s="14">
        <f t="shared" si="12"/>
        <v>-50</v>
      </c>
      <c r="N430" s="14">
        <f t="shared" si="13"/>
        <v>50</v>
      </c>
    </row>
    <row r="431" spans="1:14" ht="12.75" x14ac:dyDescent="0.2">
      <c r="A431" s="1" t="s">
        <v>1018</v>
      </c>
      <c r="B431" s="3" t="s">
        <v>1019</v>
      </c>
      <c r="C431" s="4">
        <v>43394</v>
      </c>
      <c r="D431" s="2">
        <v>0.54166666666666663</v>
      </c>
      <c r="E431" s="1" t="s">
        <v>627</v>
      </c>
      <c r="F431" s="5">
        <v>4</v>
      </c>
      <c r="G431" s="5">
        <v>1</v>
      </c>
      <c r="H431" s="1">
        <v>2.42</v>
      </c>
      <c r="I431" s="1">
        <v>2.97</v>
      </c>
      <c r="J431" s="1">
        <v>2.86</v>
      </c>
      <c r="K431" s="6">
        <f>+H431-J431</f>
        <v>-0.43999999999999995</v>
      </c>
      <c r="L431" s="7" t="str">
        <f>IF(F431-G431&gt;0,"Win","Loss")</f>
        <v>Win</v>
      </c>
      <c r="M431" s="14">
        <f t="shared" si="12"/>
        <v>71</v>
      </c>
      <c r="N431" s="14">
        <f t="shared" si="13"/>
        <v>50</v>
      </c>
    </row>
    <row r="432" spans="1:14" ht="12.75" x14ac:dyDescent="0.2">
      <c r="A432" s="1" t="s">
        <v>1018</v>
      </c>
      <c r="B432" s="3" t="s">
        <v>1019</v>
      </c>
      <c r="C432" s="4">
        <v>43394</v>
      </c>
      <c r="D432" s="2">
        <v>0.54166666666666663</v>
      </c>
      <c r="E432" s="1" t="s">
        <v>628</v>
      </c>
      <c r="F432" s="5">
        <v>1</v>
      </c>
      <c r="G432" s="5">
        <v>0</v>
      </c>
      <c r="H432" s="1">
        <v>1.58</v>
      </c>
      <c r="I432" s="1">
        <v>3.74</v>
      </c>
      <c r="J432" s="1">
        <v>5.04</v>
      </c>
      <c r="K432" s="6">
        <f>+H432-J432</f>
        <v>-3.46</v>
      </c>
      <c r="L432" s="7" t="str">
        <f>IF(F432-G432&gt;0,"Win","Loss")</f>
        <v>Win</v>
      </c>
      <c r="M432" s="14">
        <f t="shared" si="12"/>
        <v>29</v>
      </c>
      <c r="N432" s="14">
        <f t="shared" si="13"/>
        <v>50</v>
      </c>
    </row>
    <row r="433" spans="1:14" ht="12.75" x14ac:dyDescent="0.2">
      <c r="A433" s="1" t="s">
        <v>1000</v>
      </c>
      <c r="B433" s="3" t="s">
        <v>1001</v>
      </c>
      <c r="C433" s="4">
        <v>43395</v>
      </c>
      <c r="D433" s="2">
        <v>0.96180555555555547</v>
      </c>
      <c r="E433" s="1" t="s">
        <v>195</v>
      </c>
      <c r="F433" s="5">
        <v>1</v>
      </c>
      <c r="G433" s="5">
        <v>2</v>
      </c>
      <c r="H433" s="1">
        <v>2.21</v>
      </c>
      <c r="I433" s="1">
        <v>2.86</v>
      </c>
      <c r="J433" s="1">
        <v>3.5</v>
      </c>
      <c r="K433" s="6">
        <f>+H433-J433</f>
        <v>-1.29</v>
      </c>
      <c r="L433" s="7" t="str">
        <f>IF(F433-G433&gt;0,"Win","Loss")</f>
        <v>Loss</v>
      </c>
      <c r="M433" s="14">
        <f t="shared" si="12"/>
        <v>-50</v>
      </c>
      <c r="N433" s="14">
        <f t="shared" si="13"/>
        <v>50</v>
      </c>
    </row>
    <row r="434" spans="1:14" ht="12.75" x14ac:dyDescent="0.2">
      <c r="A434" s="1" t="s">
        <v>998</v>
      </c>
      <c r="B434" s="3" t="s">
        <v>999</v>
      </c>
      <c r="C434" s="4">
        <v>43398</v>
      </c>
      <c r="D434" s="2">
        <v>0.77083333333333337</v>
      </c>
      <c r="E434" s="1" t="s">
        <v>137</v>
      </c>
      <c r="F434" s="5">
        <v>0</v>
      </c>
      <c r="G434" s="5">
        <v>1</v>
      </c>
      <c r="H434" s="1">
        <v>6.03</v>
      </c>
      <c r="I434" s="1">
        <v>4.2300000000000004</v>
      </c>
      <c r="J434" s="1">
        <v>1.41</v>
      </c>
      <c r="K434" s="6">
        <f>+H434-J434</f>
        <v>4.62</v>
      </c>
      <c r="L434" s="7" t="str">
        <f>IF(F434-G434&gt;0,"Win","Loss")</f>
        <v>Loss</v>
      </c>
      <c r="M434" s="14">
        <f t="shared" si="12"/>
        <v>-50</v>
      </c>
      <c r="N434" s="14">
        <f t="shared" si="13"/>
        <v>50</v>
      </c>
    </row>
    <row r="435" spans="1:14" ht="12.75" x14ac:dyDescent="0.2">
      <c r="A435" s="1" t="s">
        <v>1000</v>
      </c>
      <c r="B435" s="3" t="s">
        <v>1001</v>
      </c>
      <c r="C435" s="4">
        <v>43400</v>
      </c>
      <c r="D435" s="2">
        <v>0.875</v>
      </c>
      <c r="E435" s="1" t="s">
        <v>191</v>
      </c>
      <c r="F435" s="5">
        <v>2</v>
      </c>
      <c r="G435" s="5">
        <v>1</v>
      </c>
      <c r="H435" s="1">
        <v>2.0699999999999998</v>
      </c>
      <c r="I435" s="1">
        <v>2.88</v>
      </c>
      <c r="J435" s="1">
        <v>3.98</v>
      </c>
      <c r="K435" s="6">
        <f>+H435-J435</f>
        <v>-1.9100000000000001</v>
      </c>
      <c r="L435" s="7" t="str">
        <f>IF(F435-G435&gt;0,"Win","Loss")</f>
        <v>Win</v>
      </c>
      <c r="M435" s="14">
        <f t="shared" si="12"/>
        <v>53.499999999999986</v>
      </c>
      <c r="N435" s="14">
        <f t="shared" si="13"/>
        <v>50</v>
      </c>
    </row>
    <row r="436" spans="1:14" ht="12.75" x14ac:dyDescent="0.2">
      <c r="A436" s="1" t="s">
        <v>1000</v>
      </c>
      <c r="B436" s="3" t="s">
        <v>1001</v>
      </c>
      <c r="C436" s="4">
        <v>43400</v>
      </c>
      <c r="D436" s="2">
        <v>0.79166666666666663</v>
      </c>
      <c r="E436" s="1" t="s">
        <v>192</v>
      </c>
      <c r="F436" s="5">
        <v>0</v>
      </c>
      <c r="G436" s="5">
        <v>2</v>
      </c>
      <c r="H436" s="1">
        <v>2.46</v>
      </c>
      <c r="I436" s="1">
        <v>2.75</v>
      </c>
      <c r="J436" s="1">
        <v>3.2</v>
      </c>
      <c r="K436" s="6">
        <f>+H436-J436</f>
        <v>-0.74000000000000021</v>
      </c>
      <c r="L436" s="7" t="str">
        <f>IF(F436-G436&gt;0,"Win","Loss")</f>
        <v>Loss</v>
      </c>
      <c r="M436" s="14">
        <f t="shared" si="12"/>
        <v>-50</v>
      </c>
      <c r="N436" s="14">
        <f t="shared" si="13"/>
        <v>50</v>
      </c>
    </row>
    <row r="437" spans="1:14" ht="12.75" x14ac:dyDescent="0.2">
      <c r="A437" s="1" t="s">
        <v>1000</v>
      </c>
      <c r="B437" s="3" t="s">
        <v>1001</v>
      </c>
      <c r="C437" s="4">
        <v>43400</v>
      </c>
      <c r="D437" s="2">
        <v>0.75</v>
      </c>
      <c r="E437" s="1" t="s">
        <v>193</v>
      </c>
      <c r="F437" s="5">
        <v>1</v>
      </c>
      <c r="G437" s="5">
        <v>0</v>
      </c>
      <c r="H437" s="1">
        <v>2.15</v>
      </c>
      <c r="I437" s="1">
        <v>2.85</v>
      </c>
      <c r="J437" s="1">
        <v>3.74</v>
      </c>
      <c r="K437" s="6">
        <f>+H437-J437</f>
        <v>-1.5900000000000003</v>
      </c>
      <c r="L437" s="7" t="str">
        <f>IF(F437-G437&gt;0,"Win","Loss")</f>
        <v>Win</v>
      </c>
      <c r="M437" s="14">
        <f t="shared" si="12"/>
        <v>57.5</v>
      </c>
      <c r="N437" s="14">
        <f t="shared" si="13"/>
        <v>50</v>
      </c>
    </row>
    <row r="438" spans="1:14" ht="12.75" x14ac:dyDescent="0.2">
      <c r="A438" s="1" t="s">
        <v>1000</v>
      </c>
      <c r="B438" s="3" t="s">
        <v>1001</v>
      </c>
      <c r="C438" s="4">
        <v>43400</v>
      </c>
      <c r="D438" s="2">
        <v>0.96180555555555547</v>
      </c>
      <c r="E438" s="1" t="s">
        <v>194</v>
      </c>
      <c r="F438" s="5">
        <v>0</v>
      </c>
      <c r="G438" s="5">
        <v>1</v>
      </c>
      <c r="H438" s="1">
        <v>2.6</v>
      </c>
      <c r="I438" s="1">
        <v>2.74</v>
      </c>
      <c r="J438" s="1">
        <v>3.02</v>
      </c>
      <c r="K438" s="6">
        <f>+H438-J438</f>
        <v>-0.41999999999999993</v>
      </c>
      <c r="L438" s="7" t="str">
        <f>IF(F438-G438&gt;0,"Win","Loss")</f>
        <v>Loss</v>
      </c>
      <c r="M438" s="14">
        <f t="shared" si="12"/>
        <v>-50</v>
      </c>
      <c r="N438" s="14">
        <f t="shared" si="13"/>
        <v>50</v>
      </c>
    </row>
    <row r="439" spans="1:14" ht="12.75" x14ac:dyDescent="0.2">
      <c r="A439" s="1" t="s">
        <v>1006</v>
      </c>
      <c r="B439" s="3" t="s">
        <v>1007</v>
      </c>
      <c r="C439" s="4">
        <v>43400</v>
      </c>
      <c r="D439" s="2">
        <v>0.625</v>
      </c>
      <c r="E439" s="1" t="s">
        <v>347</v>
      </c>
      <c r="F439" s="5">
        <v>2</v>
      </c>
      <c r="G439" s="5">
        <v>0</v>
      </c>
      <c r="H439" s="1">
        <v>3.85</v>
      </c>
      <c r="I439" s="1">
        <v>3.73</v>
      </c>
      <c r="J439" s="1">
        <v>1.89</v>
      </c>
      <c r="K439" s="6">
        <f>+H439-J439</f>
        <v>1.9600000000000002</v>
      </c>
      <c r="L439" s="7" t="str">
        <f>IF(F439-G439&gt;0,"Win","Loss")</f>
        <v>Win</v>
      </c>
      <c r="M439" s="14">
        <f t="shared" si="12"/>
        <v>142.5</v>
      </c>
      <c r="N439" s="14">
        <f t="shared" si="13"/>
        <v>50</v>
      </c>
    </row>
    <row r="440" spans="1:14" ht="12.75" x14ac:dyDescent="0.2">
      <c r="A440" s="1" t="s">
        <v>1006</v>
      </c>
      <c r="B440" s="3" t="s">
        <v>1007</v>
      </c>
      <c r="C440" s="4">
        <v>43400</v>
      </c>
      <c r="D440" s="2">
        <v>0.625</v>
      </c>
      <c r="E440" s="1" t="s">
        <v>348</v>
      </c>
      <c r="F440" s="5">
        <v>1</v>
      </c>
      <c r="G440" s="5">
        <v>1</v>
      </c>
      <c r="H440" s="1">
        <v>1.9</v>
      </c>
      <c r="I440" s="1">
        <v>3.65</v>
      </c>
      <c r="J440" s="1">
        <v>3.89</v>
      </c>
      <c r="K440" s="6">
        <f>+H440-J440</f>
        <v>-1.9900000000000002</v>
      </c>
      <c r="L440" s="7" t="str">
        <f>IF(F440-G440&gt;0,"Win","Loss")</f>
        <v>Loss</v>
      </c>
      <c r="M440" s="14">
        <f t="shared" si="12"/>
        <v>-50</v>
      </c>
      <c r="N440" s="14">
        <f t="shared" si="13"/>
        <v>50</v>
      </c>
    </row>
    <row r="441" spans="1:14" ht="12.75" x14ac:dyDescent="0.2">
      <c r="A441" s="1" t="s">
        <v>1006</v>
      </c>
      <c r="B441" s="3" t="s">
        <v>1007</v>
      </c>
      <c r="C441" s="4">
        <v>43400</v>
      </c>
      <c r="D441" s="2">
        <v>0.625</v>
      </c>
      <c r="E441" s="1" t="s">
        <v>349</v>
      </c>
      <c r="F441" s="5">
        <v>0</v>
      </c>
      <c r="G441" s="5">
        <v>0</v>
      </c>
      <c r="H441" s="1">
        <v>3.06</v>
      </c>
      <c r="I441" s="1">
        <v>3.42</v>
      </c>
      <c r="J441" s="1">
        <v>2.2799999999999998</v>
      </c>
      <c r="K441" s="6">
        <f>+H441-J441</f>
        <v>0.78000000000000025</v>
      </c>
      <c r="L441" s="7" t="str">
        <f>IF(F441-G441&gt;0,"Win","Loss")</f>
        <v>Loss</v>
      </c>
      <c r="M441" s="14">
        <f t="shared" si="12"/>
        <v>-50</v>
      </c>
      <c r="N441" s="14">
        <f t="shared" si="13"/>
        <v>50</v>
      </c>
    </row>
    <row r="442" spans="1:14" ht="12.75" x14ac:dyDescent="0.2">
      <c r="A442" s="1" t="s">
        <v>1020</v>
      </c>
      <c r="B442" s="3" t="s">
        <v>1021</v>
      </c>
      <c r="C442" s="4">
        <v>43400</v>
      </c>
      <c r="D442" s="2">
        <v>0.45833333333333331</v>
      </c>
      <c r="E442" s="1" t="s">
        <v>724</v>
      </c>
      <c r="F442" s="5">
        <v>4</v>
      </c>
      <c r="G442" s="5">
        <v>1</v>
      </c>
      <c r="H442" s="1">
        <v>4.68</v>
      </c>
      <c r="I442" s="1">
        <v>5.42</v>
      </c>
      <c r="J442" s="1">
        <v>1.43</v>
      </c>
      <c r="K442" s="6">
        <f>+H442-J442</f>
        <v>3.25</v>
      </c>
      <c r="L442" s="7" t="str">
        <f>IF(F442-G442&gt;0,"Win","Loss")</f>
        <v>Win</v>
      </c>
      <c r="M442" s="14">
        <f t="shared" si="12"/>
        <v>184</v>
      </c>
      <c r="N442" s="14">
        <f t="shared" si="13"/>
        <v>50</v>
      </c>
    </row>
    <row r="443" spans="1:14" ht="12.75" x14ac:dyDescent="0.2">
      <c r="A443" s="1" t="s">
        <v>1020</v>
      </c>
      <c r="B443" s="3" t="s">
        <v>1021</v>
      </c>
      <c r="C443" s="4">
        <v>43400</v>
      </c>
      <c r="D443" s="2">
        <v>0.45833333333333331</v>
      </c>
      <c r="E443" s="1" t="s">
        <v>725</v>
      </c>
      <c r="F443" s="5">
        <v>1</v>
      </c>
      <c r="G443" s="5">
        <v>0</v>
      </c>
      <c r="H443" s="1">
        <v>2.1</v>
      </c>
      <c r="I443" s="1">
        <v>3.75</v>
      </c>
      <c r="J443" s="1">
        <v>2.69</v>
      </c>
      <c r="K443" s="6">
        <f>+H443-J443</f>
        <v>-0.58999999999999986</v>
      </c>
      <c r="L443" s="7" t="str">
        <f>IF(F443-G443&gt;0,"Win","Loss")</f>
        <v>Win</v>
      </c>
      <c r="M443" s="14">
        <f t="shared" si="12"/>
        <v>55</v>
      </c>
      <c r="N443" s="14">
        <f t="shared" si="13"/>
        <v>50</v>
      </c>
    </row>
    <row r="444" spans="1:14" ht="12.75" x14ac:dyDescent="0.2">
      <c r="A444" s="1" t="s">
        <v>1000</v>
      </c>
      <c r="B444" s="3" t="s">
        <v>1001</v>
      </c>
      <c r="C444" s="4">
        <v>43401</v>
      </c>
      <c r="D444" s="2">
        <v>0.8125</v>
      </c>
      <c r="E444" s="1" t="s">
        <v>188</v>
      </c>
      <c r="F444" s="5">
        <v>1</v>
      </c>
      <c r="G444" s="5">
        <v>1</v>
      </c>
      <c r="H444" s="1">
        <v>1.9</v>
      </c>
      <c r="I444" s="1">
        <v>2.92</v>
      </c>
      <c r="J444" s="1">
        <v>4.55</v>
      </c>
      <c r="K444" s="6">
        <f>+H444-J444</f>
        <v>-2.65</v>
      </c>
      <c r="L444" s="7" t="str">
        <f>IF(F444-G444&gt;0,"Win","Loss")</f>
        <v>Loss</v>
      </c>
      <c r="M444" s="14">
        <f t="shared" si="12"/>
        <v>-50</v>
      </c>
      <c r="N444" s="14">
        <f t="shared" si="13"/>
        <v>50</v>
      </c>
    </row>
    <row r="445" spans="1:14" ht="12.75" x14ac:dyDescent="0.2">
      <c r="A445" s="1" t="s">
        <v>1000</v>
      </c>
      <c r="B445" s="3" t="s">
        <v>1001</v>
      </c>
      <c r="C445" s="4">
        <v>43401</v>
      </c>
      <c r="D445" s="2">
        <v>0.79166666666666663</v>
      </c>
      <c r="E445" s="1" t="s">
        <v>189</v>
      </c>
      <c r="F445" s="5">
        <v>0</v>
      </c>
      <c r="G445" s="5">
        <v>0</v>
      </c>
      <c r="H445" s="1">
        <v>2.11</v>
      </c>
      <c r="I445" s="1">
        <v>2.81</v>
      </c>
      <c r="J445" s="1">
        <v>3.97</v>
      </c>
      <c r="K445" s="6">
        <f>+H445-J445</f>
        <v>-1.8600000000000003</v>
      </c>
      <c r="L445" s="7" t="str">
        <f>IF(F445-G445&gt;0,"Win","Loss")</f>
        <v>Loss</v>
      </c>
      <c r="M445" s="14">
        <f t="shared" si="12"/>
        <v>-50</v>
      </c>
      <c r="N445" s="14">
        <f t="shared" si="13"/>
        <v>50</v>
      </c>
    </row>
    <row r="446" spans="1:14" ht="12.75" x14ac:dyDescent="0.2">
      <c r="A446" s="1" t="s">
        <v>1000</v>
      </c>
      <c r="B446" s="3" t="s">
        <v>1001</v>
      </c>
      <c r="C446" s="4">
        <v>43401</v>
      </c>
      <c r="D446" s="2">
        <v>0.75347222222222221</v>
      </c>
      <c r="E446" s="1" t="s">
        <v>190</v>
      </c>
      <c r="F446" s="5">
        <v>0</v>
      </c>
      <c r="G446" s="5">
        <v>0</v>
      </c>
      <c r="H446" s="1">
        <v>2.95</v>
      </c>
      <c r="I446" s="1">
        <v>2.68</v>
      </c>
      <c r="J446" s="1">
        <v>2.75</v>
      </c>
      <c r="K446" s="6">
        <f>+H446-J446</f>
        <v>0.20000000000000018</v>
      </c>
      <c r="L446" s="7" t="str">
        <f>IF(F446-G446&gt;0,"Win","Loss")</f>
        <v>Loss</v>
      </c>
      <c r="M446" s="14">
        <f t="shared" si="12"/>
        <v>-50</v>
      </c>
      <c r="N446" s="14">
        <f t="shared" si="13"/>
        <v>50</v>
      </c>
    </row>
    <row r="447" spans="1:14" ht="12.75" x14ac:dyDescent="0.2">
      <c r="A447" s="1" t="s">
        <v>1006</v>
      </c>
      <c r="B447" s="3" t="s">
        <v>1007</v>
      </c>
      <c r="C447" s="4">
        <v>43401</v>
      </c>
      <c r="D447" s="2">
        <v>0.66666666666666663</v>
      </c>
      <c r="E447" s="1" t="s">
        <v>344</v>
      </c>
      <c r="F447" s="5">
        <v>3</v>
      </c>
      <c r="G447" s="5">
        <v>3</v>
      </c>
      <c r="H447" s="1">
        <v>4.5599999999999996</v>
      </c>
      <c r="I447" s="1">
        <v>3.59</v>
      </c>
      <c r="J447" s="1">
        <v>1.79</v>
      </c>
      <c r="K447" s="6">
        <f>+H447-J447</f>
        <v>2.7699999999999996</v>
      </c>
      <c r="L447" s="7" t="str">
        <f>IF(F447-G447&gt;0,"Win","Loss")</f>
        <v>Loss</v>
      </c>
      <c r="M447" s="14">
        <f t="shared" si="12"/>
        <v>-50</v>
      </c>
      <c r="N447" s="14">
        <f t="shared" si="13"/>
        <v>50</v>
      </c>
    </row>
    <row r="448" spans="1:14" ht="12.75" x14ac:dyDescent="0.2">
      <c r="A448" s="1" t="s">
        <v>1006</v>
      </c>
      <c r="B448" s="3" t="s">
        <v>1007</v>
      </c>
      <c r="C448" s="4">
        <v>43401</v>
      </c>
      <c r="D448" s="2">
        <v>0.5625</v>
      </c>
      <c r="E448" s="1" t="s">
        <v>345</v>
      </c>
      <c r="F448" s="5">
        <v>1</v>
      </c>
      <c r="G448" s="5">
        <v>0</v>
      </c>
      <c r="H448" s="1">
        <v>1.69</v>
      </c>
      <c r="I448" s="1">
        <v>3.88</v>
      </c>
      <c r="J448" s="1">
        <v>4.84</v>
      </c>
      <c r="K448" s="6">
        <f>+H448-J448</f>
        <v>-3.15</v>
      </c>
      <c r="L448" s="7" t="str">
        <f>IF(F448-G448&gt;0,"Win","Loss")</f>
        <v>Win</v>
      </c>
      <c r="M448" s="14">
        <f t="shared" si="12"/>
        <v>34.5</v>
      </c>
      <c r="N448" s="14">
        <f t="shared" si="13"/>
        <v>50</v>
      </c>
    </row>
    <row r="449" spans="1:14" ht="12.75" x14ac:dyDescent="0.2">
      <c r="A449" s="1" t="s">
        <v>1006</v>
      </c>
      <c r="B449" s="3" t="s">
        <v>1007</v>
      </c>
      <c r="C449" s="4">
        <v>43401</v>
      </c>
      <c r="D449" s="2">
        <v>0.5625</v>
      </c>
      <c r="E449" s="1" t="s">
        <v>346</v>
      </c>
      <c r="F449" s="5">
        <v>2</v>
      </c>
      <c r="G449" s="5">
        <v>0</v>
      </c>
      <c r="H449" s="1">
        <v>1.32</v>
      </c>
      <c r="I449" s="1">
        <v>5.62</v>
      </c>
      <c r="J449" s="1">
        <v>8.4499999999999993</v>
      </c>
      <c r="K449" s="6">
        <f>+H449-J449</f>
        <v>-7.129999999999999</v>
      </c>
      <c r="L449" s="7" t="str">
        <f>IF(F449-G449&gt;0,"Win","Loss")</f>
        <v>Win</v>
      </c>
      <c r="M449" s="14">
        <f t="shared" si="12"/>
        <v>16</v>
      </c>
      <c r="N449" s="14">
        <f t="shared" si="13"/>
        <v>50</v>
      </c>
    </row>
    <row r="450" spans="1:14" ht="12.75" x14ac:dyDescent="0.2">
      <c r="A450" s="1" t="s">
        <v>1004</v>
      </c>
      <c r="B450" s="3" t="s">
        <v>1005</v>
      </c>
      <c r="C450" s="4">
        <v>43406</v>
      </c>
      <c r="D450" s="2">
        <v>0.36805555555555558</v>
      </c>
      <c r="E450" s="1" t="s">
        <v>333</v>
      </c>
      <c r="F450" s="5">
        <v>0</v>
      </c>
      <c r="G450" s="5">
        <v>3</v>
      </c>
      <c r="H450" s="1">
        <v>2.5</v>
      </c>
      <c r="I450" s="1">
        <v>3.3</v>
      </c>
      <c r="J450" s="1">
        <v>2.83</v>
      </c>
      <c r="K450" s="6">
        <f>+H450-J450</f>
        <v>-0.33000000000000007</v>
      </c>
      <c r="L450" s="7" t="str">
        <f>IF(F450-G450&gt;0,"Win","Loss")</f>
        <v>Loss</v>
      </c>
      <c r="M450" s="14">
        <f t="shared" si="12"/>
        <v>-50</v>
      </c>
      <c r="N450" s="14">
        <f t="shared" si="13"/>
        <v>50</v>
      </c>
    </row>
    <row r="451" spans="1:14" ht="12.75" x14ac:dyDescent="0.2">
      <c r="A451" s="1" t="s">
        <v>1020</v>
      </c>
      <c r="B451" s="3" t="s">
        <v>1021</v>
      </c>
      <c r="C451" s="4">
        <v>43406</v>
      </c>
      <c r="D451" s="2">
        <v>0.54166666666666663</v>
      </c>
      <c r="E451" s="1" t="s">
        <v>723</v>
      </c>
      <c r="F451" s="5">
        <v>0</v>
      </c>
      <c r="G451" s="5" t="s">
        <v>979</v>
      </c>
      <c r="H451" s="1">
        <v>1.34</v>
      </c>
      <c r="I451" s="1">
        <v>5.09</v>
      </c>
      <c r="J451" s="1">
        <v>6.22</v>
      </c>
      <c r="K451" s="6">
        <f>+H451-J451</f>
        <v>-4.88</v>
      </c>
      <c r="L451" s="7" t="str">
        <f>IF(F451-G451&gt;0,"Win","Loss")</f>
        <v>Loss</v>
      </c>
      <c r="M451" s="14">
        <f t="shared" si="12"/>
        <v>-50</v>
      </c>
      <c r="N451" s="14">
        <f t="shared" si="13"/>
        <v>50</v>
      </c>
    </row>
    <row r="452" spans="1:14" ht="12.75" x14ac:dyDescent="0.2">
      <c r="A452" s="1" t="s">
        <v>1004</v>
      </c>
      <c r="B452" s="3" t="s">
        <v>1005</v>
      </c>
      <c r="C452" s="4">
        <v>43407</v>
      </c>
      <c r="D452" s="2">
        <v>0.45833333333333331</v>
      </c>
      <c r="E452" s="1" t="s">
        <v>330</v>
      </c>
      <c r="F452" s="5">
        <v>2</v>
      </c>
      <c r="G452" s="5">
        <v>1</v>
      </c>
      <c r="H452" s="1">
        <v>1.93</v>
      </c>
      <c r="I452" s="1">
        <v>3.69</v>
      </c>
      <c r="J452" s="1">
        <v>3.75</v>
      </c>
      <c r="K452" s="6">
        <f>+H452-J452</f>
        <v>-1.82</v>
      </c>
      <c r="L452" s="7" t="str">
        <f>IF(F452-G452&gt;0,"Win","Loss")</f>
        <v>Win</v>
      </c>
      <c r="M452" s="14">
        <f t="shared" si="12"/>
        <v>46.5</v>
      </c>
      <c r="N452" s="14">
        <f t="shared" si="13"/>
        <v>50</v>
      </c>
    </row>
    <row r="453" spans="1:14" ht="12.75" x14ac:dyDescent="0.2">
      <c r="A453" s="1" t="s">
        <v>1004</v>
      </c>
      <c r="B453" s="3" t="s">
        <v>1005</v>
      </c>
      <c r="C453" s="4">
        <v>43407</v>
      </c>
      <c r="D453" s="2">
        <v>0.36805555555555558</v>
      </c>
      <c r="E453" s="1" t="s">
        <v>331</v>
      </c>
      <c r="F453" s="5">
        <v>0</v>
      </c>
      <c r="G453" s="5">
        <v>1</v>
      </c>
      <c r="H453" s="1">
        <v>2.67</v>
      </c>
      <c r="I453" s="1">
        <v>3.44</v>
      </c>
      <c r="J453" s="1">
        <v>2.57</v>
      </c>
      <c r="K453" s="6">
        <f>+H453-J453</f>
        <v>0.10000000000000009</v>
      </c>
      <c r="L453" s="7" t="str">
        <f>IF(F453-G453&gt;0,"Win","Loss")</f>
        <v>Loss</v>
      </c>
      <c r="M453" s="14">
        <f t="shared" si="12"/>
        <v>-50</v>
      </c>
      <c r="N453" s="14">
        <f t="shared" si="13"/>
        <v>50</v>
      </c>
    </row>
    <row r="454" spans="1:14" ht="12.75" x14ac:dyDescent="0.2">
      <c r="A454" s="1" t="s">
        <v>1004</v>
      </c>
      <c r="B454" s="3" t="s">
        <v>1005</v>
      </c>
      <c r="C454" s="4">
        <v>43407</v>
      </c>
      <c r="D454" s="2">
        <v>0.27430555555555552</v>
      </c>
      <c r="E454" s="1" t="s">
        <v>332</v>
      </c>
      <c r="F454" s="5">
        <v>0</v>
      </c>
      <c r="G454" s="5">
        <v>3</v>
      </c>
      <c r="H454" s="1">
        <v>2.59</v>
      </c>
      <c r="I454" s="1">
        <v>3.52</v>
      </c>
      <c r="J454" s="1">
        <v>2.6</v>
      </c>
      <c r="K454" s="6">
        <f>+H454-J454</f>
        <v>-1.0000000000000231E-2</v>
      </c>
      <c r="L454" s="7" t="str">
        <f>IF(F454-G454&gt;0,"Win","Loss")</f>
        <v>Loss</v>
      </c>
      <c r="M454" s="14">
        <f t="shared" si="12"/>
        <v>-50</v>
      </c>
      <c r="N454" s="14">
        <f t="shared" si="13"/>
        <v>50</v>
      </c>
    </row>
    <row r="455" spans="1:14" ht="12.75" x14ac:dyDescent="0.2">
      <c r="A455" s="1" t="s">
        <v>1006</v>
      </c>
      <c r="B455" s="3" t="s">
        <v>1007</v>
      </c>
      <c r="C455" s="4">
        <v>43407</v>
      </c>
      <c r="D455" s="2">
        <v>0.66666666666666663</v>
      </c>
      <c r="E455" s="1" t="s">
        <v>341</v>
      </c>
      <c r="F455" s="5">
        <v>2</v>
      </c>
      <c r="G455" s="5">
        <v>3</v>
      </c>
      <c r="H455" s="1">
        <v>2.78</v>
      </c>
      <c r="I455" s="1">
        <v>3.55</v>
      </c>
      <c r="J455" s="1">
        <v>2.42</v>
      </c>
      <c r="K455" s="6">
        <f>+H455-J455</f>
        <v>0.35999999999999988</v>
      </c>
      <c r="L455" s="7" t="str">
        <f>IF(F455-G455&gt;0,"Win","Loss")</f>
        <v>Loss</v>
      </c>
      <c r="M455" s="14">
        <f t="shared" si="12"/>
        <v>-50</v>
      </c>
      <c r="N455" s="14">
        <f t="shared" si="13"/>
        <v>50</v>
      </c>
    </row>
    <row r="456" spans="1:14" ht="12.75" x14ac:dyDescent="0.2">
      <c r="A456" s="1" t="s">
        <v>1006</v>
      </c>
      <c r="B456" s="3" t="s">
        <v>1007</v>
      </c>
      <c r="C456" s="4">
        <v>43407</v>
      </c>
      <c r="D456" s="2">
        <v>0.66666666666666663</v>
      </c>
      <c r="E456" s="1" t="s">
        <v>342</v>
      </c>
      <c r="F456" s="5">
        <v>2</v>
      </c>
      <c r="G456" s="5">
        <v>2</v>
      </c>
      <c r="H456" s="1">
        <v>5.13</v>
      </c>
      <c r="I456" s="1">
        <v>4.01</v>
      </c>
      <c r="J456" s="1">
        <v>1.64</v>
      </c>
      <c r="K456" s="6">
        <f>+H456-J456</f>
        <v>3.49</v>
      </c>
      <c r="L456" s="7" t="str">
        <f>IF(F456-G456&gt;0,"Win","Loss")</f>
        <v>Loss</v>
      </c>
      <c r="M456" s="14">
        <f t="shared" si="12"/>
        <v>-50</v>
      </c>
      <c r="N456" s="14">
        <f t="shared" si="13"/>
        <v>50</v>
      </c>
    </row>
    <row r="457" spans="1:14" ht="12.75" x14ac:dyDescent="0.2">
      <c r="A457" s="1" t="s">
        <v>1006</v>
      </c>
      <c r="B457" s="3" t="s">
        <v>1007</v>
      </c>
      <c r="C457" s="4">
        <v>43407</v>
      </c>
      <c r="D457" s="2">
        <v>0.66666666666666663</v>
      </c>
      <c r="E457" s="1" t="s">
        <v>343</v>
      </c>
      <c r="F457" s="5">
        <v>1</v>
      </c>
      <c r="G457" s="5">
        <v>1</v>
      </c>
      <c r="H457" s="1">
        <v>1.53</v>
      </c>
      <c r="I457" s="1">
        <v>4.24</v>
      </c>
      <c r="J457" s="1">
        <v>5.89</v>
      </c>
      <c r="K457" s="6">
        <f>+H457-J457</f>
        <v>-4.3599999999999994</v>
      </c>
      <c r="L457" s="7" t="str">
        <f>IF(F457-G457&gt;0,"Win","Loss")</f>
        <v>Loss</v>
      </c>
      <c r="M457" s="14">
        <f t="shared" si="12"/>
        <v>-50</v>
      </c>
      <c r="N457" s="14">
        <f t="shared" si="13"/>
        <v>50</v>
      </c>
    </row>
    <row r="458" spans="1:14" ht="12.75" x14ac:dyDescent="0.2">
      <c r="A458" s="1" t="s">
        <v>1020</v>
      </c>
      <c r="B458" s="3" t="s">
        <v>1021</v>
      </c>
      <c r="C458" s="4">
        <v>43407</v>
      </c>
      <c r="D458" s="2">
        <v>0.5</v>
      </c>
      <c r="E458" s="1" t="s">
        <v>716</v>
      </c>
      <c r="F458" s="5">
        <v>3</v>
      </c>
      <c r="G458" s="5">
        <v>0</v>
      </c>
      <c r="H458" s="1">
        <v>3.48</v>
      </c>
      <c r="I458" s="1">
        <v>4.1399999999999997</v>
      </c>
      <c r="J458" s="1">
        <v>1.73</v>
      </c>
      <c r="K458" s="6">
        <f>+H458-J458</f>
        <v>1.75</v>
      </c>
      <c r="L458" s="7" t="str">
        <f>IF(F458-G458&gt;0,"Win","Loss")</f>
        <v>Win</v>
      </c>
      <c r="M458" s="14">
        <f t="shared" si="12"/>
        <v>124</v>
      </c>
      <c r="N458" s="14">
        <f t="shared" si="13"/>
        <v>50</v>
      </c>
    </row>
    <row r="459" spans="1:14" ht="12.75" x14ac:dyDescent="0.2">
      <c r="A459" s="1" t="s">
        <v>1020</v>
      </c>
      <c r="B459" s="3" t="s">
        <v>1021</v>
      </c>
      <c r="C459" s="4">
        <v>43407</v>
      </c>
      <c r="D459" s="2">
        <v>0.5</v>
      </c>
      <c r="E459" s="1" t="s">
        <v>717</v>
      </c>
      <c r="F459" s="5">
        <v>2</v>
      </c>
      <c r="G459" s="5" t="s">
        <v>979</v>
      </c>
      <c r="H459" s="1">
        <v>2.42</v>
      </c>
      <c r="I459" s="1">
        <v>4.4000000000000004</v>
      </c>
      <c r="J459" s="1">
        <v>2.19</v>
      </c>
      <c r="K459" s="6">
        <f>+H459-J459</f>
        <v>0.22999999999999998</v>
      </c>
      <c r="L459" s="7" t="str">
        <f>IF(F459-G459&gt;0,"Win","Loss")</f>
        <v>Win</v>
      </c>
      <c r="M459" s="14">
        <f t="shared" si="12"/>
        <v>71</v>
      </c>
      <c r="N459" s="14">
        <f t="shared" si="13"/>
        <v>50</v>
      </c>
    </row>
    <row r="460" spans="1:14" ht="12.75" x14ac:dyDescent="0.2">
      <c r="A460" s="1" t="s">
        <v>1020</v>
      </c>
      <c r="B460" s="3" t="s">
        <v>1021</v>
      </c>
      <c r="C460" s="4">
        <v>43407</v>
      </c>
      <c r="D460" s="2">
        <v>0.45833333333333331</v>
      </c>
      <c r="E460" s="1" t="s">
        <v>718</v>
      </c>
      <c r="F460" s="5">
        <v>1</v>
      </c>
      <c r="G460" s="5">
        <v>0</v>
      </c>
      <c r="H460" s="1">
        <v>2.5299999999999998</v>
      </c>
      <c r="I460" s="1">
        <v>4.3600000000000003</v>
      </c>
      <c r="J460" s="1">
        <v>2.13</v>
      </c>
      <c r="K460" s="6">
        <f>+H460-J460</f>
        <v>0.39999999999999991</v>
      </c>
      <c r="L460" s="7" t="str">
        <f>IF(F460-G460&gt;0,"Win","Loss")</f>
        <v>Win</v>
      </c>
      <c r="M460" s="14">
        <f t="shared" si="12"/>
        <v>76.499999999999986</v>
      </c>
      <c r="N460" s="14">
        <f t="shared" si="13"/>
        <v>50</v>
      </c>
    </row>
    <row r="461" spans="1:14" ht="12.75" x14ac:dyDescent="0.2">
      <c r="A461" s="1" t="s">
        <v>1020</v>
      </c>
      <c r="B461" s="3" t="s">
        <v>1021</v>
      </c>
      <c r="C461" s="4">
        <v>43407</v>
      </c>
      <c r="D461" s="2">
        <v>0.45833333333333331</v>
      </c>
      <c r="E461" s="1" t="s">
        <v>719</v>
      </c>
      <c r="F461" s="5">
        <v>2</v>
      </c>
      <c r="G461" s="5">
        <v>1</v>
      </c>
      <c r="H461" s="1">
        <v>2.0099999999999998</v>
      </c>
      <c r="I461" s="1">
        <v>3.99</v>
      </c>
      <c r="J461" s="1">
        <v>2.75</v>
      </c>
      <c r="K461" s="6">
        <f>+H461-J461</f>
        <v>-0.74000000000000021</v>
      </c>
      <c r="L461" s="7" t="str">
        <f>IF(F461-G461&gt;0,"Win","Loss")</f>
        <v>Win</v>
      </c>
      <c r="M461" s="14">
        <f t="shared" si="12"/>
        <v>50.499999999999986</v>
      </c>
      <c r="N461" s="14">
        <f t="shared" si="13"/>
        <v>50</v>
      </c>
    </row>
    <row r="462" spans="1:14" ht="12.75" x14ac:dyDescent="0.2">
      <c r="A462" s="1" t="s">
        <v>1020</v>
      </c>
      <c r="B462" s="3" t="s">
        <v>1021</v>
      </c>
      <c r="C462" s="4">
        <v>43407</v>
      </c>
      <c r="D462" s="2">
        <v>0.41666666666666669</v>
      </c>
      <c r="E462" s="1" t="s">
        <v>720</v>
      </c>
      <c r="F462" s="5">
        <v>0</v>
      </c>
      <c r="G462" s="5">
        <v>1</v>
      </c>
      <c r="H462" s="1">
        <v>2.5</v>
      </c>
      <c r="I462" s="1">
        <v>3.88</v>
      </c>
      <c r="J462" s="1">
        <v>2.27</v>
      </c>
      <c r="K462" s="6">
        <f>+H462-J462</f>
        <v>0.22999999999999998</v>
      </c>
      <c r="L462" s="7" t="str">
        <f>IF(F462-G462&gt;0,"Win","Loss")</f>
        <v>Loss</v>
      </c>
      <c r="M462" s="14">
        <f t="shared" ref="M462:M525" si="14">IF(L462="Win",(H462*N462)-N462,-N462)</f>
        <v>-50</v>
      </c>
      <c r="N462" s="14">
        <f t="shared" ref="N462:N525" si="15">+$M$1</f>
        <v>50</v>
      </c>
    </row>
    <row r="463" spans="1:14" ht="12.75" x14ac:dyDescent="0.2">
      <c r="A463" s="1" t="s">
        <v>1020</v>
      </c>
      <c r="B463" s="3" t="s">
        <v>1021</v>
      </c>
      <c r="C463" s="4">
        <v>43407</v>
      </c>
      <c r="D463" s="2">
        <v>0.41666666666666669</v>
      </c>
      <c r="E463" s="1" t="s">
        <v>721</v>
      </c>
      <c r="F463" s="5">
        <v>1</v>
      </c>
      <c r="G463" s="5">
        <v>0</v>
      </c>
      <c r="H463" s="1">
        <v>1.64</v>
      </c>
      <c r="I463" s="1">
        <v>4.68</v>
      </c>
      <c r="J463" s="1">
        <v>3.65</v>
      </c>
      <c r="K463" s="6">
        <f>+H463-J463</f>
        <v>-2.0099999999999998</v>
      </c>
      <c r="L463" s="7" t="str">
        <f>IF(F463-G463&gt;0,"Win","Loss")</f>
        <v>Win</v>
      </c>
      <c r="M463" s="14">
        <f t="shared" si="14"/>
        <v>32</v>
      </c>
      <c r="N463" s="14">
        <f t="shared" si="15"/>
        <v>50</v>
      </c>
    </row>
    <row r="464" spans="1:14" ht="12.75" x14ac:dyDescent="0.2">
      <c r="A464" s="1" t="s">
        <v>1020</v>
      </c>
      <c r="B464" s="3" t="s">
        <v>1021</v>
      </c>
      <c r="C464" s="4">
        <v>43407</v>
      </c>
      <c r="D464" s="2">
        <v>0.41666666666666669</v>
      </c>
      <c r="E464" s="1" t="s">
        <v>722</v>
      </c>
      <c r="F464" s="5">
        <v>0</v>
      </c>
      <c r="G464" s="5" t="s">
        <v>979</v>
      </c>
      <c r="H464" s="1">
        <v>1.1599999999999999</v>
      </c>
      <c r="I464" s="1">
        <v>6.83</v>
      </c>
      <c r="J464" s="1">
        <v>9.75</v>
      </c>
      <c r="K464" s="6">
        <f>+H464-J464</f>
        <v>-8.59</v>
      </c>
      <c r="L464" s="7" t="str">
        <f>IF(F464-G464&gt;0,"Win","Loss")</f>
        <v>Loss</v>
      </c>
      <c r="M464" s="14">
        <f t="shared" si="14"/>
        <v>-50</v>
      </c>
      <c r="N464" s="14">
        <f t="shared" si="15"/>
        <v>50</v>
      </c>
    </row>
    <row r="465" spans="1:14" ht="12.75" x14ac:dyDescent="0.2">
      <c r="A465" s="1" t="s">
        <v>1004</v>
      </c>
      <c r="B465" s="3" t="s">
        <v>1005</v>
      </c>
      <c r="C465" s="4">
        <v>43408</v>
      </c>
      <c r="D465" s="2">
        <v>0.25</v>
      </c>
      <c r="E465" s="1" t="s">
        <v>329</v>
      </c>
      <c r="F465" s="5">
        <v>0</v>
      </c>
      <c r="G465" s="5">
        <v>3</v>
      </c>
      <c r="H465" s="1">
        <v>3.74</v>
      </c>
      <c r="I465" s="1">
        <v>3.71</v>
      </c>
      <c r="J465" s="1">
        <v>1.93</v>
      </c>
      <c r="K465" s="6">
        <f>+H465-J465</f>
        <v>1.8100000000000003</v>
      </c>
      <c r="L465" s="7" t="str">
        <f>IF(F465-G465&gt;0,"Win","Loss")</f>
        <v>Loss</v>
      </c>
      <c r="M465" s="14">
        <f t="shared" si="14"/>
        <v>-50</v>
      </c>
      <c r="N465" s="14">
        <f t="shared" si="15"/>
        <v>50</v>
      </c>
    </row>
    <row r="466" spans="1:14" ht="12.75" x14ac:dyDescent="0.2">
      <c r="A466" s="1" t="s">
        <v>1006</v>
      </c>
      <c r="B466" s="3" t="s">
        <v>1007</v>
      </c>
      <c r="C466" s="4">
        <v>43408</v>
      </c>
      <c r="D466" s="2">
        <v>0.66666666666666663</v>
      </c>
      <c r="E466" s="1" t="s">
        <v>338</v>
      </c>
      <c r="F466" s="5">
        <v>2</v>
      </c>
      <c r="G466" s="5">
        <v>2</v>
      </c>
      <c r="H466" s="1">
        <v>3.67</v>
      </c>
      <c r="I466" s="1">
        <v>3.61</v>
      </c>
      <c r="J466" s="1">
        <v>1.98</v>
      </c>
      <c r="K466" s="6">
        <f>+H466-J466</f>
        <v>1.69</v>
      </c>
      <c r="L466" s="7" t="str">
        <f>IF(F466-G466&gt;0,"Win","Loss")</f>
        <v>Loss</v>
      </c>
      <c r="M466" s="14">
        <f t="shared" si="14"/>
        <v>-50</v>
      </c>
      <c r="N466" s="14">
        <f t="shared" si="15"/>
        <v>50</v>
      </c>
    </row>
    <row r="467" spans="1:14" ht="12.75" x14ac:dyDescent="0.2">
      <c r="A467" s="1" t="s">
        <v>1006</v>
      </c>
      <c r="B467" s="3" t="s">
        <v>1007</v>
      </c>
      <c r="C467" s="4">
        <v>43408</v>
      </c>
      <c r="D467" s="2">
        <v>0.5625</v>
      </c>
      <c r="E467" s="1" t="s">
        <v>339</v>
      </c>
      <c r="F467" s="5">
        <v>2</v>
      </c>
      <c r="G467" s="5">
        <v>3</v>
      </c>
      <c r="H467" s="1">
        <v>2.2799999999999998</v>
      </c>
      <c r="I467" s="1">
        <v>3.22</v>
      </c>
      <c r="J467" s="1">
        <v>3.25</v>
      </c>
      <c r="K467" s="6">
        <f>+H467-J467</f>
        <v>-0.9700000000000002</v>
      </c>
      <c r="L467" s="7" t="str">
        <f>IF(F467-G467&gt;0,"Win","Loss")</f>
        <v>Loss</v>
      </c>
      <c r="M467" s="14">
        <f t="shared" si="14"/>
        <v>-50</v>
      </c>
      <c r="N467" s="14">
        <f t="shared" si="15"/>
        <v>50</v>
      </c>
    </row>
    <row r="468" spans="1:14" ht="12.75" x14ac:dyDescent="0.2">
      <c r="A468" s="1" t="s">
        <v>1006</v>
      </c>
      <c r="B468" s="3" t="s">
        <v>1007</v>
      </c>
      <c r="C468" s="4">
        <v>43408</v>
      </c>
      <c r="D468" s="2">
        <v>0.5625</v>
      </c>
      <c r="E468" s="1" t="s">
        <v>340</v>
      </c>
      <c r="F468" s="5">
        <v>2</v>
      </c>
      <c r="G468" s="5">
        <v>1</v>
      </c>
      <c r="H468" s="1">
        <v>1.1499999999999999</v>
      </c>
      <c r="I468" s="1">
        <v>7.56</v>
      </c>
      <c r="J468" s="1">
        <v>17.09</v>
      </c>
      <c r="K468" s="6">
        <f>+H468-J468</f>
        <v>-15.94</v>
      </c>
      <c r="L468" s="7" t="str">
        <f>IF(F468-G468&gt;0,"Win","Loss")</f>
        <v>Win</v>
      </c>
      <c r="M468" s="14">
        <f t="shared" si="14"/>
        <v>7.4999999999999929</v>
      </c>
      <c r="N468" s="14">
        <f t="shared" si="15"/>
        <v>50</v>
      </c>
    </row>
    <row r="469" spans="1:14" ht="12.75" x14ac:dyDescent="0.2">
      <c r="A469" s="1" t="s">
        <v>1004</v>
      </c>
      <c r="B469" s="3" t="s">
        <v>1005</v>
      </c>
      <c r="C469" s="4">
        <v>43413</v>
      </c>
      <c r="D469" s="2">
        <v>0.36805555555555558</v>
      </c>
      <c r="E469" s="1" t="s">
        <v>328</v>
      </c>
      <c r="F469" s="5">
        <v>2</v>
      </c>
      <c r="G469" s="5">
        <v>0</v>
      </c>
      <c r="H469" s="1">
        <v>1.51</v>
      </c>
      <c r="I469" s="1">
        <v>4.25</v>
      </c>
      <c r="J469" s="1">
        <v>6.26</v>
      </c>
      <c r="K469" s="6">
        <f>+H469-J469</f>
        <v>-4.75</v>
      </c>
      <c r="L469" s="7" t="str">
        <f>IF(F469-G469&gt;0,"Win","Loss")</f>
        <v>Win</v>
      </c>
      <c r="M469" s="14">
        <f t="shared" si="14"/>
        <v>25.5</v>
      </c>
      <c r="N469" s="14">
        <f t="shared" si="15"/>
        <v>50</v>
      </c>
    </row>
    <row r="470" spans="1:14" ht="12.75" x14ac:dyDescent="0.2">
      <c r="A470" s="1" t="s">
        <v>1020</v>
      </c>
      <c r="B470" s="3" t="s">
        <v>1021</v>
      </c>
      <c r="C470" s="4">
        <v>43413</v>
      </c>
      <c r="D470" s="2">
        <v>0.625</v>
      </c>
      <c r="E470" s="1" t="s">
        <v>715</v>
      </c>
      <c r="F470" s="5">
        <v>0</v>
      </c>
      <c r="G470" s="5">
        <v>1</v>
      </c>
      <c r="H470" s="1">
        <v>1.65</v>
      </c>
      <c r="I470" s="1">
        <v>4.1100000000000003</v>
      </c>
      <c r="J470" s="1">
        <v>3.84</v>
      </c>
      <c r="K470" s="6">
        <f>+H470-J470</f>
        <v>-2.19</v>
      </c>
      <c r="L470" s="7" t="str">
        <f>IF(F470-G470&gt;0,"Win","Loss")</f>
        <v>Loss</v>
      </c>
      <c r="M470" s="14">
        <f t="shared" si="14"/>
        <v>-50</v>
      </c>
      <c r="N470" s="14">
        <f t="shared" si="15"/>
        <v>50</v>
      </c>
    </row>
    <row r="471" spans="1:14" ht="12.75" x14ac:dyDescent="0.2">
      <c r="A471" s="1" t="s">
        <v>1004</v>
      </c>
      <c r="B471" s="3" t="s">
        <v>1005</v>
      </c>
      <c r="C471" s="4">
        <v>43414</v>
      </c>
      <c r="D471" s="2">
        <v>0.36805555555555558</v>
      </c>
      <c r="E471" s="1" t="s">
        <v>326</v>
      </c>
      <c r="F471" s="5">
        <v>1</v>
      </c>
      <c r="G471" s="5">
        <v>1</v>
      </c>
      <c r="H471" s="1">
        <v>3.96</v>
      </c>
      <c r="I471" s="1">
        <v>3.66</v>
      </c>
      <c r="J471" s="1">
        <v>1.9</v>
      </c>
      <c r="K471" s="6">
        <f>+H471-J471</f>
        <v>2.06</v>
      </c>
      <c r="L471" s="7" t="str">
        <f>IF(F471-G471&gt;0,"Win","Loss")</f>
        <v>Loss</v>
      </c>
      <c r="M471" s="14">
        <f t="shared" si="14"/>
        <v>-50</v>
      </c>
      <c r="N471" s="14">
        <f t="shared" si="15"/>
        <v>50</v>
      </c>
    </row>
    <row r="472" spans="1:14" ht="12.75" x14ac:dyDescent="0.2">
      <c r="A472" s="1" t="s">
        <v>1004</v>
      </c>
      <c r="B472" s="3" t="s">
        <v>1005</v>
      </c>
      <c r="C472" s="4">
        <v>43414</v>
      </c>
      <c r="D472" s="2">
        <v>0.27430555555555552</v>
      </c>
      <c r="E472" s="1" t="s">
        <v>327</v>
      </c>
      <c r="F472" s="5">
        <v>2</v>
      </c>
      <c r="G472" s="5">
        <v>2</v>
      </c>
      <c r="H472" s="1">
        <v>2.17</v>
      </c>
      <c r="I472" s="1">
        <v>3.49</v>
      </c>
      <c r="J472" s="1">
        <v>3.29</v>
      </c>
      <c r="K472" s="6">
        <f>+H472-J472</f>
        <v>-1.1200000000000001</v>
      </c>
      <c r="L472" s="7" t="str">
        <f>IF(F472-G472&gt;0,"Win","Loss")</f>
        <v>Loss</v>
      </c>
      <c r="M472" s="14">
        <f t="shared" si="14"/>
        <v>-50</v>
      </c>
      <c r="N472" s="14">
        <f t="shared" si="15"/>
        <v>50</v>
      </c>
    </row>
    <row r="473" spans="1:14" ht="12.75" x14ac:dyDescent="0.2">
      <c r="A473" s="1" t="s">
        <v>1006</v>
      </c>
      <c r="B473" s="3" t="s">
        <v>1007</v>
      </c>
      <c r="C473" s="4">
        <v>43414</v>
      </c>
      <c r="D473" s="2">
        <v>0.66666666666666663</v>
      </c>
      <c r="E473" s="1" t="s">
        <v>335</v>
      </c>
      <c r="F473" s="5">
        <v>5</v>
      </c>
      <c r="G473" s="5">
        <v>1</v>
      </c>
      <c r="H473" s="1">
        <v>1.29</v>
      </c>
      <c r="I473" s="1">
        <v>5.51</v>
      </c>
      <c r="J473" s="1">
        <v>10.06</v>
      </c>
      <c r="K473" s="6">
        <f>+H473-J473</f>
        <v>-8.77</v>
      </c>
      <c r="L473" s="7" t="str">
        <f>IF(F473-G473&gt;0,"Win","Loss")</f>
        <v>Win</v>
      </c>
      <c r="M473" s="14">
        <f t="shared" si="14"/>
        <v>14.5</v>
      </c>
      <c r="N473" s="14">
        <f t="shared" si="15"/>
        <v>50</v>
      </c>
    </row>
    <row r="474" spans="1:14" ht="12.75" x14ac:dyDescent="0.2">
      <c r="A474" s="1" t="s">
        <v>1006</v>
      </c>
      <c r="B474" s="3" t="s">
        <v>1007</v>
      </c>
      <c r="C474" s="4">
        <v>43414</v>
      </c>
      <c r="D474" s="2">
        <v>0.66666666666666663</v>
      </c>
      <c r="E474" s="1" t="s">
        <v>336</v>
      </c>
      <c r="F474" s="5">
        <v>0</v>
      </c>
      <c r="G474" s="5">
        <v>0</v>
      </c>
      <c r="H474" s="1">
        <v>1.61</v>
      </c>
      <c r="I474" s="1">
        <v>3.82</v>
      </c>
      <c r="J474" s="1">
        <v>5.78</v>
      </c>
      <c r="K474" s="6">
        <f>+H474-J474</f>
        <v>-4.17</v>
      </c>
      <c r="L474" s="7" t="str">
        <f>IF(F474-G474&gt;0,"Win","Loss")</f>
        <v>Loss</v>
      </c>
      <c r="M474" s="14">
        <f t="shared" si="14"/>
        <v>-50</v>
      </c>
      <c r="N474" s="14">
        <f t="shared" si="15"/>
        <v>50</v>
      </c>
    </row>
    <row r="475" spans="1:14" ht="12.75" x14ac:dyDescent="0.2">
      <c r="A475" s="1" t="s">
        <v>1006</v>
      </c>
      <c r="B475" s="3" t="s">
        <v>1007</v>
      </c>
      <c r="C475" s="4">
        <v>43414</v>
      </c>
      <c r="D475" s="2">
        <v>0.66666666666666663</v>
      </c>
      <c r="E475" s="1" t="s">
        <v>337</v>
      </c>
      <c r="F475" s="5">
        <v>1</v>
      </c>
      <c r="G475" s="5">
        <v>0</v>
      </c>
      <c r="H475" s="1">
        <v>2.57</v>
      </c>
      <c r="I475" s="1">
        <v>3.27</v>
      </c>
      <c r="J475" s="1">
        <v>2.78</v>
      </c>
      <c r="K475" s="6">
        <f>+H475-J475</f>
        <v>-0.20999999999999996</v>
      </c>
      <c r="L475" s="7" t="str">
        <f>IF(F475-G475&gt;0,"Win","Loss")</f>
        <v>Win</v>
      </c>
      <c r="M475" s="14">
        <f t="shared" si="14"/>
        <v>78.5</v>
      </c>
      <c r="N475" s="14">
        <f t="shared" si="15"/>
        <v>50</v>
      </c>
    </row>
    <row r="476" spans="1:14" ht="12.75" x14ac:dyDescent="0.2">
      <c r="A476" s="1" t="s">
        <v>1020</v>
      </c>
      <c r="B476" s="3" t="s">
        <v>1021</v>
      </c>
      <c r="C476" s="4">
        <v>43414</v>
      </c>
      <c r="D476" s="2">
        <v>0.52083333333333337</v>
      </c>
      <c r="E476" s="1" t="s">
        <v>708</v>
      </c>
      <c r="F476" s="5">
        <v>2</v>
      </c>
      <c r="G476" s="5">
        <v>0</v>
      </c>
      <c r="H476" s="1">
        <v>1.25</v>
      </c>
      <c r="I476" s="1">
        <v>5.55</v>
      </c>
      <c r="J476" s="1">
        <v>7.6</v>
      </c>
      <c r="K476" s="6">
        <f>+H476-J476</f>
        <v>-6.35</v>
      </c>
      <c r="L476" s="7" t="str">
        <f>IF(F476-G476&gt;0,"Win","Loss")</f>
        <v>Win</v>
      </c>
      <c r="M476" s="14">
        <f t="shared" si="14"/>
        <v>12.5</v>
      </c>
      <c r="N476" s="14">
        <f t="shared" si="15"/>
        <v>50</v>
      </c>
    </row>
    <row r="477" spans="1:14" ht="12.75" x14ac:dyDescent="0.2">
      <c r="A477" s="1" t="s">
        <v>1020</v>
      </c>
      <c r="B477" s="3" t="s">
        <v>1021</v>
      </c>
      <c r="C477" s="4">
        <v>43414</v>
      </c>
      <c r="D477" s="2">
        <v>0.41666666666666669</v>
      </c>
      <c r="E477" s="1" t="s">
        <v>709</v>
      </c>
      <c r="F477" s="5">
        <v>3</v>
      </c>
      <c r="G477" s="5">
        <v>0</v>
      </c>
      <c r="H477" s="1">
        <v>2.91</v>
      </c>
      <c r="I477" s="1">
        <v>3.47</v>
      </c>
      <c r="J477" s="1">
        <v>2.17</v>
      </c>
      <c r="K477" s="6">
        <f>+H477-J477</f>
        <v>0.74000000000000021</v>
      </c>
      <c r="L477" s="7" t="str">
        <f>IF(F477-G477&gt;0,"Win","Loss")</f>
        <v>Win</v>
      </c>
      <c r="M477" s="14">
        <f t="shared" si="14"/>
        <v>95.5</v>
      </c>
      <c r="N477" s="14">
        <f t="shared" si="15"/>
        <v>50</v>
      </c>
    </row>
    <row r="478" spans="1:14" ht="12.75" x14ac:dyDescent="0.2">
      <c r="A478" s="1" t="s">
        <v>1020</v>
      </c>
      <c r="B478" s="3" t="s">
        <v>1021</v>
      </c>
      <c r="C478" s="4">
        <v>43414</v>
      </c>
      <c r="D478" s="2">
        <v>0.41666666666666669</v>
      </c>
      <c r="E478" s="1" t="s">
        <v>710</v>
      </c>
      <c r="F478" s="5">
        <v>1</v>
      </c>
      <c r="G478" s="5" t="s">
        <v>980</v>
      </c>
      <c r="H478" s="1">
        <v>3.47</v>
      </c>
      <c r="I478" s="1">
        <v>4.03</v>
      </c>
      <c r="J478" s="1">
        <v>1.8</v>
      </c>
      <c r="K478" s="6">
        <f>+H478-J478</f>
        <v>1.6700000000000002</v>
      </c>
      <c r="L478" s="7" t="str">
        <f>IF(F478-G478&gt;0,"Win","Loss")</f>
        <v>Loss</v>
      </c>
      <c r="M478" s="14">
        <f t="shared" si="14"/>
        <v>-50</v>
      </c>
      <c r="N478" s="14">
        <f t="shared" si="15"/>
        <v>50</v>
      </c>
    </row>
    <row r="479" spans="1:14" ht="12.75" x14ac:dyDescent="0.2">
      <c r="A479" s="1" t="s">
        <v>1020</v>
      </c>
      <c r="B479" s="3" t="s">
        <v>1021</v>
      </c>
      <c r="C479" s="4">
        <v>43414</v>
      </c>
      <c r="D479" s="2">
        <v>0.41666666666666669</v>
      </c>
      <c r="E479" s="1" t="s">
        <v>711</v>
      </c>
      <c r="F479" s="5">
        <v>2</v>
      </c>
      <c r="G479" s="5">
        <v>0</v>
      </c>
      <c r="H479" s="1">
        <v>1.54</v>
      </c>
      <c r="I479" s="1">
        <v>4.05</v>
      </c>
      <c r="J479" s="1">
        <v>4.82</v>
      </c>
      <c r="K479" s="6">
        <f>+H479-J479</f>
        <v>-3.2800000000000002</v>
      </c>
      <c r="L479" s="7" t="str">
        <f>IF(F479-G479&gt;0,"Win","Loss")</f>
        <v>Win</v>
      </c>
      <c r="M479" s="14">
        <f t="shared" si="14"/>
        <v>27</v>
      </c>
      <c r="N479" s="14">
        <f t="shared" si="15"/>
        <v>50</v>
      </c>
    </row>
    <row r="480" spans="1:14" ht="12.75" x14ac:dyDescent="0.2">
      <c r="A480" s="1" t="s">
        <v>1020</v>
      </c>
      <c r="B480" s="3" t="s">
        <v>1021</v>
      </c>
      <c r="C480" s="4">
        <v>43414</v>
      </c>
      <c r="D480" s="2">
        <v>0.41666666666666669</v>
      </c>
      <c r="E480" s="1" t="s">
        <v>712</v>
      </c>
      <c r="F480" s="5">
        <v>2</v>
      </c>
      <c r="G480" s="5" t="s">
        <v>979</v>
      </c>
      <c r="H480" s="1">
        <v>2.29</v>
      </c>
      <c r="I480" s="1">
        <v>3.78</v>
      </c>
      <c r="J480" s="1">
        <v>2.5499999999999998</v>
      </c>
      <c r="K480" s="6">
        <f>+H480-J480</f>
        <v>-0.25999999999999979</v>
      </c>
      <c r="L480" s="7" t="str">
        <f>IF(F480-G480&gt;0,"Win","Loss")</f>
        <v>Win</v>
      </c>
      <c r="M480" s="14">
        <f t="shared" si="14"/>
        <v>64.5</v>
      </c>
      <c r="N480" s="14">
        <f t="shared" si="15"/>
        <v>50</v>
      </c>
    </row>
    <row r="481" spans="1:14" ht="12.75" x14ac:dyDescent="0.2">
      <c r="A481" s="1" t="s">
        <v>1020</v>
      </c>
      <c r="B481" s="3" t="s">
        <v>1021</v>
      </c>
      <c r="C481" s="4">
        <v>43414</v>
      </c>
      <c r="D481" s="2">
        <v>0.39583333333333331</v>
      </c>
      <c r="E481" s="1" t="s">
        <v>713</v>
      </c>
      <c r="F481" s="5">
        <v>3</v>
      </c>
      <c r="G481" s="5">
        <v>1</v>
      </c>
      <c r="H481" s="1">
        <v>1.82</v>
      </c>
      <c r="I481" s="1">
        <v>3.88</v>
      </c>
      <c r="J481" s="1">
        <v>3.44</v>
      </c>
      <c r="K481" s="6">
        <f>+H481-J481</f>
        <v>-1.6199999999999999</v>
      </c>
      <c r="L481" s="7" t="str">
        <f>IF(F481-G481&gt;0,"Win","Loss")</f>
        <v>Win</v>
      </c>
      <c r="M481" s="14">
        <f t="shared" si="14"/>
        <v>41</v>
      </c>
      <c r="N481" s="14">
        <f t="shared" si="15"/>
        <v>50</v>
      </c>
    </row>
    <row r="482" spans="1:14" ht="12.75" x14ac:dyDescent="0.2">
      <c r="A482" s="1" t="s">
        <v>1020</v>
      </c>
      <c r="B482" s="3" t="s">
        <v>1021</v>
      </c>
      <c r="C482" s="4">
        <v>43414</v>
      </c>
      <c r="D482" s="2">
        <v>0.38541666666666669</v>
      </c>
      <c r="E482" s="1" t="s">
        <v>714</v>
      </c>
      <c r="F482" s="5">
        <v>4</v>
      </c>
      <c r="G482" s="5">
        <v>3</v>
      </c>
      <c r="H482" s="1">
        <v>7.35</v>
      </c>
      <c r="I482" s="1">
        <v>6.34</v>
      </c>
      <c r="J482" s="1">
        <v>1.24</v>
      </c>
      <c r="K482" s="6">
        <f>+H482-J482</f>
        <v>6.1099999999999994</v>
      </c>
      <c r="L482" s="7" t="str">
        <f>IF(F482-G482&gt;0,"Win","Loss")</f>
        <v>Win</v>
      </c>
      <c r="M482" s="14">
        <f t="shared" si="14"/>
        <v>317.5</v>
      </c>
      <c r="N482" s="14">
        <f t="shared" si="15"/>
        <v>50</v>
      </c>
    </row>
    <row r="483" spans="1:14" ht="12.75" x14ac:dyDescent="0.2">
      <c r="A483" s="1" t="s">
        <v>1004</v>
      </c>
      <c r="B483" s="3" t="s">
        <v>1005</v>
      </c>
      <c r="C483" s="4">
        <v>43415</v>
      </c>
      <c r="D483" s="2">
        <v>0.33333333333333331</v>
      </c>
      <c r="E483" s="1" t="s">
        <v>324</v>
      </c>
      <c r="F483" s="5">
        <v>4</v>
      </c>
      <c r="G483" s="5">
        <v>1</v>
      </c>
      <c r="H483" s="1">
        <v>1.4</v>
      </c>
      <c r="I483" s="1">
        <v>4.84</v>
      </c>
      <c r="J483" s="1">
        <v>7.48</v>
      </c>
      <c r="K483" s="6">
        <f>+H483-J483</f>
        <v>-6.08</v>
      </c>
      <c r="L483" s="7" t="str">
        <f>IF(F483-G483&gt;0,"Win","Loss")</f>
        <v>Win</v>
      </c>
      <c r="M483" s="14">
        <f t="shared" si="14"/>
        <v>20</v>
      </c>
      <c r="N483" s="14">
        <f t="shared" si="15"/>
        <v>50</v>
      </c>
    </row>
    <row r="484" spans="1:14" ht="12.75" x14ac:dyDescent="0.2">
      <c r="A484" s="1" t="s">
        <v>1004</v>
      </c>
      <c r="B484" s="3" t="s">
        <v>1005</v>
      </c>
      <c r="C484" s="4">
        <v>43415</v>
      </c>
      <c r="D484" s="2">
        <v>0.25</v>
      </c>
      <c r="E484" s="1" t="s">
        <v>325</v>
      </c>
      <c r="F484" s="5">
        <v>0</v>
      </c>
      <c r="G484" s="5">
        <v>2</v>
      </c>
      <c r="H484" s="1">
        <v>2</v>
      </c>
      <c r="I484" s="1">
        <v>3.66</v>
      </c>
      <c r="J484" s="1">
        <v>3.62</v>
      </c>
      <c r="K484" s="6">
        <f>+H484-J484</f>
        <v>-1.62</v>
      </c>
      <c r="L484" s="7" t="str">
        <f>IF(F484-G484&gt;0,"Win","Loss")</f>
        <v>Loss</v>
      </c>
      <c r="M484" s="14">
        <f t="shared" si="14"/>
        <v>-50</v>
      </c>
      <c r="N484" s="14">
        <f t="shared" si="15"/>
        <v>50</v>
      </c>
    </row>
    <row r="485" spans="1:14" ht="12.75" x14ac:dyDescent="0.2">
      <c r="A485" s="1" t="s">
        <v>1006</v>
      </c>
      <c r="B485" s="3" t="s">
        <v>1007</v>
      </c>
      <c r="C485" s="4">
        <v>43415</v>
      </c>
      <c r="D485" s="2">
        <v>0.5625</v>
      </c>
      <c r="E485" s="1" t="s">
        <v>334</v>
      </c>
      <c r="F485" s="5">
        <v>1</v>
      </c>
      <c r="G485" s="5">
        <v>2</v>
      </c>
      <c r="H485" s="1">
        <v>2.04</v>
      </c>
      <c r="I485" s="1">
        <v>3.53</v>
      </c>
      <c r="J485" s="1">
        <v>3.53</v>
      </c>
      <c r="K485" s="6">
        <f>+H485-J485</f>
        <v>-1.4899999999999998</v>
      </c>
      <c r="L485" s="7" t="str">
        <f>IF(F485-G485&gt;0,"Win","Loss")</f>
        <v>Loss</v>
      </c>
      <c r="M485" s="14">
        <f t="shared" si="14"/>
        <v>-50</v>
      </c>
      <c r="N485" s="14">
        <f t="shared" si="15"/>
        <v>50</v>
      </c>
    </row>
    <row r="486" spans="1:14" ht="12.75" x14ac:dyDescent="0.2">
      <c r="A486" s="1" t="s">
        <v>1026</v>
      </c>
      <c r="B486" s="3" t="s">
        <v>1028</v>
      </c>
      <c r="C486" s="4">
        <v>43417</v>
      </c>
      <c r="D486" s="2">
        <v>0.82291666666666663</v>
      </c>
      <c r="E486" s="1" t="s">
        <v>908</v>
      </c>
      <c r="F486" s="5">
        <v>3</v>
      </c>
      <c r="G486" s="5">
        <v>2</v>
      </c>
      <c r="H486" s="1">
        <v>2.35</v>
      </c>
      <c r="I486" s="1">
        <v>3.42</v>
      </c>
      <c r="J486" s="1">
        <v>2.86</v>
      </c>
      <c r="K486" s="6">
        <f>+H486-J486</f>
        <v>-0.50999999999999979</v>
      </c>
      <c r="L486" s="7" t="str">
        <f>IF(F486-G486&gt;0,"Win","Loss")</f>
        <v>Win</v>
      </c>
      <c r="M486" s="14">
        <f t="shared" si="14"/>
        <v>67.5</v>
      </c>
      <c r="N486" s="14">
        <f t="shared" si="15"/>
        <v>50</v>
      </c>
    </row>
    <row r="487" spans="1:14" ht="12.75" x14ac:dyDescent="0.2">
      <c r="A487" s="1" t="s">
        <v>1026</v>
      </c>
      <c r="B487" s="3" t="s">
        <v>1028</v>
      </c>
      <c r="C487" s="4">
        <v>43417</v>
      </c>
      <c r="D487" s="2">
        <v>0.82291666666666663</v>
      </c>
      <c r="E487" s="1" t="s">
        <v>909</v>
      </c>
      <c r="F487" s="5">
        <v>3</v>
      </c>
      <c r="G487" s="5">
        <v>1</v>
      </c>
      <c r="H487" s="1">
        <v>1.96</v>
      </c>
      <c r="I487" s="1">
        <v>3.73</v>
      </c>
      <c r="J487" s="1">
        <v>3.47</v>
      </c>
      <c r="K487" s="6">
        <f>+H487-J487</f>
        <v>-1.5100000000000002</v>
      </c>
      <c r="L487" s="7" t="str">
        <f>IF(F487-G487&gt;0,"Win","Loss")</f>
        <v>Win</v>
      </c>
      <c r="M487" s="14">
        <f t="shared" si="14"/>
        <v>48</v>
      </c>
      <c r="N487" s="14">
        <f t="shared" si="15"/>
        <v>50</v>
      </c>
    </row>
    <row r="488" spans="1:14" ht="12.75" x14ac:dyDescent="0.2">
      <c r="A488" s="1" t="s">
        <v>1026</v>
      </c>
      <c r="B488" s="3" t="s">
        <v>1028</v>
      </c>
      <c r="C488" s="4">
        <v>43417</v>
      </c>
      <c r="D488" s="2">
        <v>0.82291666666666663</v>
      </c>
      <c r="E488" s="1" t="s">
        <v>910</v>
      </c>
      <c r="F488" s="5">
        <v>1</v>
      </c>
      <c r="G488" s="5" t="s">
        <v>980</v>
      </c>
      <c r="H488" s="1">
        <v>2.91</v>
      </c>
      <c r="I488" s="1">
        <v>3.47</v>
      </c>
      <c r="J488" s="1">
        <v>2.29</v>
      </c>
      <c r="K488" s="6">
        <f>+H488-J488</f>
        <v>0.62000000000000011</v>
      </c>
      <c r="L488" s="7" t="str">
        <f>IF(F488-G488&gt;0,"Win","Loss")</f>
        <v>Loss</v>
      </c>
      <c r="M488" s="14">
        <f t="shared" si="14"/>
        <v>-50</v>
      </c>
      <c r="N488" s="14">
        <f t="shared" si="15"/>
        <v>50</v>
      </c>
    </row>
    <row r="489" spans="1:14" ht="12.75" x14ac:dyDescent="0.2">
      <c r="A489" s="1" t="s">
        <v>1026</v>
      </c>
      <c r="B489" s="3" t="s">
        <v>1028</v>
      </c>
      <c r="C489" s="4">
        <v>43417</v>
      </c>
      <c r="D489" s="2">
        <v>0.82291666666666663</v>
      </c>
      <c r="E489" s="1" t="s">
        <v>911</v>
      </c>
      <c r="F489" s="5">
        <v>0</v>
      </c>
      <c r="G489" s="5">
        <v>1</v>
      </c>
      <c r="H489" s="1">
        <v>1.64</v>
      </c>
      <c r="I489" s="1">
        <v>4.09</v>
      </c>
      <c r="J489" s="1">
        <v>4.7300000000000004</v>
      </c>
      <c r="K489" s="6">
        <f>+H489-J489</f>
        <v>-3.0900000000000007</v>
      </c>
      <c r="L489" s="7" t="str">
        <f>IF(F489-G489&gt;0,"Win","Loss")</f>
        <v>Loss</v>
      </c>
      <c r="M489" s="14">
        <f t="shared" si="14"/>
        <v>-50</v>
      </c>
      <c r="N489" s="14">
        <f t="shared" si="15"/>
        <v>50</v>
      </c>
    </row>
    <row r="490" spans="1:14" ht="12.75" x14ac:dyDescent="0.2">
      <c r="A490" s="1" t="s">
        <v>1026</v>
      </c>
      <c r="B490" s="3" t="s">
        <v>1028</v>
      </c>
      <c r="C490" s="4">
        <v>43417</v>
      </c>
      <c r="D490" s="2">
        <v>0.82291666666666663</v>
      </c>
      <c r="E490" s="1" t="s">
        <v>912</v>
      </c>
      <c r="F490" s="5">
        <v>2</v>
      </c>
      <c r="G490" s="5">
        <v>0</v>
      </c>
      <c r="H490" s="1">
        <v>3.37</v>
      </c>
      <c r="I490" s="1">
        <v>3.62</v>
      </c>
      <c r="J490" s="1">
        <v>2.02</v>
      </c>
      <c r="K490" s="6">
        <f>+H490-J490</f>
        <v>1.35</v>
      </c>
      <c r="L490" s="7" t="str">
        <f>IF(F490-G490&gt;0,"Win","Loss")</f>
        <v>Win</v>
      </c>
      <c r="M490" s="14">
        <f t="shared" si="14"/>
        <v>118.5</v>
      </c>
      <c r="N490" s="14">
        <f t="shared" si="15"/>
        <v>50</v>
      </c>
    </row>
    <row r="491" spans="1:14" ht="12.75" x14ac:dyDescent="0.2">
      <c r="A491" s="1" t="s">
        <v>1026</v>
      </c>
      <c r="B491" s="3" t="s">
        <v>1028</v>
      </c>
      <c r="C491" s="4">
        <v>43417</v>
      </c>
      <c r="D491" s="2">
        <v>0.82291666666666663</v>
      </c>
      <c r="E491" s="1" t="s">
        <v>913</v>
      </c>
      <c r="F491" s="5">
        <v>2</v>
      </c>
      <c r="G491" s="5">
        <v>0</v>
      </c>
      <c r="H491" s="1">
        <v>2.52</v>
      </c>
      <c r="I491" s="1">
        <v>3.3</v>
      </c>
      <c r="J491" s="1">
        <v>2.71</v>
      </c>
      <c r="K491" s="6">
        <f>+H491-J491</f>
        <v>-0.18999999999999995</v>
      </c>
      <c r="L491" s="7" t="str">
        <f>IF(F491-G491&gt;0,"Win","Loss")</f>
        <v>Win</v>
      </c>
      <c r="M491" s="14">
        <f t="shared" si="14"/>
        <v>76</v>
      </c>
      <c r="N491" s="14">
        <f t="shared" si="15"/>
        <v>50</v>
      </c>
    </row>
    <row r="492" spans="1:14" ht="12.75" x14ac:dyDescent="0.2">
      <c r="A492" s="1" t="s">
        <v>1026</v>
      </c>
      <c r="B492" s="3" t="s">
        <v>1028</v>
      </c>
      <c r="C492" s="4">
        <v>43417</v>
      </c>
      <c r="D492" s="2">
        <v>0.82291666666666663</v>
      </c>
      <c r="E492" s="1" t="s">
        <v>914</v>
      </c>
      <c r="F492" s="5">
        <v>2</v>
      </c>
      <c r="G492" s="5">
        <v>1</v>
      </c>
      <c r="H492" s="1">
        <v>2.0699999999999998</v>
      </c>
      <c r="I492" s="1">
        <v>3.69</v>
      </c>
      <c r="J492" s="1">
        <v>3.16</v>
      </c>
      <c r="K492" s="6">
        <f>+H492-J492</f>
        <v>-1.0900000000000003</v>
      </c>
      <c r="L492" s="7" t="str">
        <f>IF(F492-G492&gt;0,"Win","Loss")</f>
        <v>Win</v>
      </c>
      <c r="M492" s="14">
        <f t="shared" si="14"/>
        <v>53.499999999999986</v>
      </c>
      <c r="N492" s="14">
        <f t="shared" si="15"/>
        <v>50</v>
      </c>
    </row>
    <row r="493" spans="1:14" ht="12.75" x14ac:dyDescent="0.2">
      <c r="A493" s="1" t="s">
        <v>1026</v>
      </c>
      <c r="B493" s="3" t="s">
        <v>1028</v>
      </c>
      <c r="C493" s="4">
        <v>43417</v>
      </c>
      <c r="D493" s="2">
        <v>0.82291666666666663</v>
      </c>
      <c r="E493" s="1" t="s">
        <v>915</v>
      </c>
      <c r="F493" s="5">
        <v>2</v>
      </c>
      <c r="G493" s="5">
        <v>3</v>
      </c>
      <c r="H493" s="1">
        <v>2.56</v>
      </c>
      <c r="I493" s="1">
        <v>3.51</v>
      </c>
      <c r="J493" s="1">
        <v>2.56</v>
      </c>
      <c r="K493" s="6">
        <f>+H493-J493</f>
        <v>0</v>
      </c>
      <c r="L493" s="7" t="str">
        <f>IF(F493-G493&gt;0,"Win","Loss")</f>
        <v>Loss</v>
      </c>
      <c r="M493" s="14">
        <f t="shared" si="14"/>
        <v>-50</v>
      </c>
      <c r="N493" s="14">
        <f t="shared" si="15"/>
        <v>50</v>
      </c>
    </row>
    <row r="494" spans="1:14" ht="12.75" x14ac:dyDescent="0.2">
      <c r="A494" s="1" t="s">
        <v>1026</v>
      </c>
      <c r="B494" s="3" t="s">
        <v>1028</v>
      </c>
      <c r="C494" s="4">
        <v>43417</v>
      </c>
      <c r="D494" s="2">
        <v>0.82291666666666663</v>
      </c>
      <c r="E494" s="1" t="s">
        <v>916</v>
      </c>
      <c r="F494" s="5">
        <v>2</v>
      </c>
      <c r="G494" s="5">
        <v>1</v>
      </c>
      <c r="H494" s="1">
        <v>2.61</v>
      </c>
      <c r="I494" s="1">
        <v>3.49</v>
      </c>
      <c r="J494" s="1">
        <v>2.5099999999999998</v>
      </c>
      <c r="K494" s="6">
        <f>+H494-J494</f>
        <v>0.10000000000000009</v>
      </c>
      <c r="L494" s="7" t="str">
        <f>IF(F494-G494&gt;0,"Win","Loss")</f>
        <v>Win</v>
      </c>
      <c r="M494" s="14">
        <f t="shared" si="14"/>
        <v>80.5</v>
      </c>
      <c r="N494" s="14">
        <f t="shared" si="15"/>
        <v>50</v>
      </c>
    </row>
    <row r="495" spans="1:14" ht="12.75" x14ac:dyDescent="0.2">
      <c r="A495" s="1" t="s">
        <v>1026</v>
      </c>
      <c r="B495" s="3" t="s">
        <v>1028</v>
      </c>
      <c r="C495" s="4">
        <v>43417</v>
      </c>
      <c r="D495" s="2">
        <v>0.82291666666666663</v>
      </c>
      <c r="E495" s="1" t="s">
        <v>917</v>
      </c>
      <c r="F495" s="5">
        <v>3</v>
      </c>
      <c r="G495" s="5">
        <v>2</v>
      </c>
      <c r="H495" s="1">
        <v>3.1</v>
      </c>
      <c r="I495" s="1">
        <v>3.23</v>
      </c>
      <c r="J495" s="1">
        <v>2.29</v>
      </c>
      <c r="K495" s="6">
        <f>+H495-J495</f>
        <v>0.81</v>
      </c>
      <c r="L495" s="7" t="str">
        <f>IF(F495-G495&gt;0,"Win","Loss")</f>
        <v>Win</v>
      </c>
      <c r="M495" s="14">
        <f t="shared" si="14"/>
        <v>105</v>
      </c>
      <c r="N495" s="14">
        <f t="shared" si="15"/>
        <v>50</v>
      </c>
    </row>
    <row r="496" spans="1:14" ht="12.75" x14ac:dyDescent="0.2">
      <c r="A496" s="1" t="s">
        <v>1026</v>
      </c>
      <c r="B496" s="3" t="s">
        <v>1028</v>
      </c>
      <c r="C496" s="4">
        <v>43417</v>
      </c>
      <c r="D496" s="2">
        <v>0.82291666666666663</v>
      </c>
      <c r="E496" s="1" t="s">
        <v>918</v>
      </c>
      <c r="F496" s="5">
        <v>2</v>
      </c>
      <c r="G496" s="5">
        <v>3</v>
      </c>
      <c r="H496" s="1">
        <v>1.46</v>
      </c>
      <c r="I496" s="1">
        <v>4.66</v>
      </c>
      <c r="J496" s="1">
        <v>5.92</v>
      </c>
      <c r="K496" s="6">
        <f>+H496-J496</f>
        <v>-4.46</v>
      </c>
      <c r="L496" s="7" t="str">
        <f>IF(F496-G496&gt;0,"Win","Loss")</f>
        <v>Loss</v>
      </c>
      <c r="M496" s="14">
        <f t="shared" si="14"/>
        <v>-50</v>
      </c>
      <c r="N496" s="14">
        <f t="shared" si="15"/>
        <v>50</v>
      </c>
    </row>
    <row r="497" spans="1:14" ht="12.75" x14ac:dyDescent="0.2">
      <c r="A497" s="1" t="s">
        <v>1026</v>
      </c>
      <c r="B497" s="3" t="s">
        <v>1028</v>
      </c>
      <c r="C497" s="4">
        <v>43417</v>
      </c>
      <c r="D497" s="2">
        <v>0.82291666666666663</v>
      </c>
      <c r="E497" s="1" t="s">
        <v>919</v>
      </c>
      <c r="F497" s="5">
        <v>0</v>
      </c>
      <c r="G497" s="5">
        <v>1</v>
      </c>
      <c r="H497" s="1">
        <v>5.41</v>
      </c>
      <c r="I497" s="1">
        <v>4.1399999999999997</v>
      </c>
      <c r="J497" s="1">
        <v>1.55</v>
      </c>
      <c r="K497" s="6">
        <f>+H497-J497</f>
        <v>3.8600000000000003</v>
      </c>
      <c r="L497" s="7" t="str">
        <f>IF(F497-G497&gt;0,"Win","Loss")</f>
        <v>Loss</v>
      </c>
      <c r="M497" s="14">
        <f t="shared" si="14"/>
        <v>-50</v>
      </c>
      <c r="N497" s="14">
        <f t="shared" si="15"/>
        <v>50</v>
      </c>
    </row>
    <row r="498" spans="1:14" ht="12.75" x14ac:dyDescent="0.2">
      <c r="A498" s="1" t="s">
        <v>1026</v>
      </c>
      <c r="B498" s="3" t="s">
        <v>1028</v>
      </c>
      <c r="C498" s="4">
        <v>43417</v>
      </c>
      <c r="D498" s="2">
        <v>0.82291666666666663</v>
      </c>
      <c r="E498" s="1" t="s">
        <v>920</v>
      </c>
      <c r="F498" s="5">
        <v>2</v>
      </c>
      <c r="G498" s="5">
        <v>0</v>
      </c>
      <c r="H498" s="1">
        <v>1.54</v>
      </c>
      <c r="I498" s="1">
        <v>4.37</v>
      </c>
      <c r="J498" s="1">
        <v>5.21</v>
      </c>
      <c r="K498" s="6">
        <f>+H498-J498</f>
        <v>-3.67</v>
      </c>
      <c r="L498" s="7" t="str">
        <f>IF(F498-G498&gt;0,"Win","Loss")</f>
        <v>Win</v>
      </c>
      <c r="M498" s="14">
        <f t="shared" si="14"/>
        <v>27</v>
      </c>
      <c r="N498" s="14">
        <f t="shared" si="15"/>
        <v>50</v>
      </c>
    </row>
    <row r="499" spans="1:14" ht="12.75" x14ac:dyDescent="0.2">
      <c r="A499" s="1" t="s">
        <v>1026</v>
      </c>
      <c r="B499" s="3" t="s">
        <v>1028</v>
      </c>
      <c r="C499" s="4">
        <v>43417</v>
      </c>
      <c r="D499" s="2">
        <v>0.82291666666666663</v>
      </c>
      <c r="E499" s="1" t="s">
        <v>921</v>
      </c>
      <c r="F499" s="5">
        <v>2</v>
      </c>
      <c r="G499" s="5">
        <v>1</v>
      </c>
      <c r="H499" s="1">
        <v>2.2599999999999998</v>
      </c>
      <c r="I499" s="1">
        <v>3.83</v>
      </c>
      <c r="J499" s="1">
        <v>2.75</v>
      </c>
      <c r="K499" s="6">
        <f>+H499-J499</f>
        <v>-0.49000000000000021</v>
      </c>
      <c r="L499" s="7" t="str">
        <f>IF(F499-G499&gt;0,"Win","Loss")</f>
        <v>Win</v>
      </c>
      <c r="M499" s="14">
        <f t="shared" si="14"/>
        <v>62.999999999999986</v>
      </c>
      <c r="N499" s="14">
        <f t="shared" si="15"/>
        <v>50</v>
      </c>
    </row>
    <row r="500" spans="1:14" ht="12.75" x14ac:dyDescent="0.2">
      <c r="A500" s="1" t="s">
        <v>1026</v>
      </c>
      <c r="B500" s="3" t="s">
        <v>1028</v>
      </c>
      <c r="C500" s="4">
        <v>43417</v>
      </c>
      <c r="D500" s="2">
        <v>0.82291666666666663</v>
      </c>
      <c r="E500" s="1" t="s">
        <v>922</v>
      </c>
      <c r="F500" s="5">
        <v>3</v>
      </c>
      <c r="G500" s="5">
        <v>2</v>
      </c>
      <c r="H500" s="1">
        <v>1.63</v>
      </c>
      <c r="I500" s="1">
        <v>4</v>
      </c>
      <c r="J500" s="1">
        <v>4.8899999999999997</v>
      </c>
      <c r="K500" s="6">
        <f>+H500-J500</f>
        <v>-3.26</v>
      </c>
      <c r="L500" s="7" t="str">
        <f>IF(F500-G500&gt;0,"Win","Loss")</f>
        <v>Win</v>
      </c>
      <c r="M500" s="14">
        <f t="shared" si="14"/>
        <v>31.5</v>
      </c>
      <c r="N500" s="14">
        <f t="shared" si="15"/>
        <v>50</v>
      </c>
    </row>
    <row r="501" spans="1:14" ht="12.75" x14ac:dyDescent="0.2">
      <c r="A501" s="1" t="s">
        <v>1026</v>
      </c>
      <c r="B501" s="3" t="s">
        <v>1028</v>
      </c>
      <c r="C501" s="4">
        <v>43417</v>
      </c>
      <c r="D501" s="2">
        <v>0.8125</v>
      </c>
      <c r="E501" s="1" t="s">
        <v>923</v>
      </c>
      <c r="F501" s="5">
        <v>2</v>
      </c>
      <c r="G501" s="5">
        <v>1</v>
      </c>
      <c r="H501" s="1">
        <v>1.5</v>
      </c>
      <c r="I501" s="1">
        <v>4.32</v>
      </c>
      <c r="J501" s="1">
        <v>5.65</v>
      </c>
      <c r="K501" s="6">
        <f>+H501-J501</f>
        <v>-4.1500000000000004</v>
      </c>
      <c r="L501" s="7" t="str">
        <f>IF(F501-G501&gt;0,"Win","Loss")</f>
        <v>Win</v>
      </c>
      <c r="M501" s="14">
        <f t="shared" si="14"/>
        <v>25</v>
      </c>
      <c r="N501" s="14">
        <f t="shared" si="15"/>
        <v>50</v>
      </c>
    </row>
    <row r="502" spans="1:14" ht="12.75" x14ac:dyDescent="0.2">
      <c r="A502" s="1" t="s">
        <v>1026</v>
      </c>
      <c r="B502" s="3" t="s">
        <v>1028</v>
      </c>
      <c r="C502" s="4">
        <v>43417</v>
      </c>
      <c r="D502" s="2">
        <v>0.8125</v>
      </c>
      <c r="E502" s="1" t="s">
        <v>924</v>
      </c>
      <c r="F502" s="5">
        <v>1</v>
      </c>
      <c r="G502" s="5">
        <v>2</v>
      </c>
      <c r="H502" s="1">
        <v>2.63</v>
      </c>
      <c r="I502" s="1">
        <v>3.41</v>
      </c>
      <c r="J502" s="1">
        <v>2.5299999999999998</v>
      </c>
      <c r="K502" s="6">
        <f>+H502-J502</f>
        <v>0.10000000000000009</v>
      </c>
      <c r="L502" s="7" t="str">
        <f>IF(F502-G502&gt;0,"Win","Loss")</f>
        <v>Loss</v>
      </c>
      <c r="M502" s="14">
        <f t="shared" si="14"/>
        <v>-50</v>
      </c>
      <c r="N502" s="14">
        <f t="shared" si="15"/>
        <v>50</v>
      </c>
    </row>
    <row r="503" spans="1:14" ht="12.75" x14ac:dyDescent="0.2">
      <c r="A503" s="1" t="s">
        <v>1026</v>
      </c>
      <c r="B503" s="3" t="s">
        <v>1028</v>
      </c>
      <c r="C503" s="4">
        <v>43417</v>
      </c>
      <c r="D503" s="2">
        <v>0.79166666666666663</v>
      </c>
      <c r="E503" s="1" t="s">
        <v>925</v>
      </c>
      <c r="F503" s="5">
        <v>3</v>
      </c>
      <c r="G503" s="5">
        <v>1</v>
      </c>
      <c r="H503" s="1">
        <v>3.1</v>
      </c>
      <c r="I503" s="1">
        <v>3.38</v>
      </c>
      <c r="J503" s="1">
        <v>2.23</v>
      </c>
      <c r="K503" s="6">
        <f>+H503-J503</f>
        <v>0.87000000000000011</v>
      </c>
      <c r="L503" s="7" t="str">
        <f>IF(F503-G503&gt;0,"Win","Loss")</f>
        <v>Win</v>
      </c>
      <c r="M503" s="14">
        <f t="shared" si="14"/>
        <v>105</v>
      </c>
      <c r="N503" s="14">
        <f t="shared" si="15"/>
        <v>50</v>
      </c>
    </row>
    <row r="504" spans="1:14" ht="12.75" x14ac:dyDescent="0.2">
      <c r="A504" s="1" t="s">
        <v>1026</v>
      </c>
      <c r="B504" s="3" t="s">
        <v>1028</v>
      </c>
      <c r="C504" s="4">
        <v>43418</v>
      </c>
      <c r="D504" s="2">
        <v>0.82291666666666663</v>
      </c>
      <c r="E504" s="1" t="s">
        <v>906</v>
      </c>
      <c r="F504" s="5">
        <v>4</v>
      </c>
      <c r="G504" s="5">
        <v>2</v>
      </c>
      <c r="H504" s="1">
        <v>3.86</v>
      </c>
      <c r="I504" s="1">
        <v>3.61</v>
      </c>
      <c r="J504" s="1">
        <v>1.87</v>
      </c>
      <c r="K504" s="6">
        <f>+H504-J504</f>
        <v>1.9899999999999998</v>
      </c>
      <c r="L504" s="7" t="str">
        <f>IF(F504-G504&gt;0,"Win","Loss")</f>
        <v>Win</v>
      </c>
      <c r="M504" s="14">
        <f t="shared" si="14"/>
        <v>143</v>
      </c>
      <c r="N504" s="14">
        <f t="shared" si="15"/>
        <v>50</v>
      </c>
    </row>
    <row r="505" spans="1:14" ht="12.75" x14ac:dyDescent="0.2">
      <c r="A505" s="1" t="s">
        <v>1026</v>
      </c>
      <c r="B505" s="3" t="s">
        <v>1028</v>
      </c>
      <c r="C505" s="4">
        <v>43418</v>
      </c>
      <c r="D505" s="2">
        <v>0.82291666666666663</v>
      </c>
      <c r="E505" s="1" t="s">
        <v>907</v>
      </c>
      <c r="F505" s="5">
        <v>3</v>
      </c>
      <c r="G505" s="5">
        <v>0</v>
      </c>
      <c r="H505" s="1">
        <v>1.49</v>
      </c>
      <c r="I505" s="1">
        <v>4.5999999999999996</v>
      </c>
      <c r="J505" s="1">
        <v>5.44</v>
      </c>
      <c r="K505" s="6">
        <f>+H505-J505</f>
        <v>-3.95</v>
      </c>
      <c r="L505" s="7" t="str">
        <f>IF(F505-G505&gt;0,"Win","Loss")</f>
        <v>Win</v>
      </c>
      <c r="M505" s="14">
        <f t="shared" si="14"/>
        <v>24.5</v>
      </c>
      <c r="N505" s="14">
        <f t="shared" si="15"/>
        <v>50</v>
      </c>
    </row>
    <row r="506" spans="1:14" ht="12.75" x14ac:dyDescent="0.2">
      <c r="A506" s="1" t="s">
        <v>1020</v>
      </c>
      <c r="B506" s="3" t="s">
        <v>1021</v>
      </c>
      <c r="C506" s="4">
        <v>43421</v>
      </c>
      <c r="D506" s="2">
        <v>0.52083333333333337</v>
      </c>
      <c r="E506" s="1" t="s">
        <v>702</v>
      </c>
      <c r="F506" s="5">
        <v>0</v>
      </c>
      <c r="G506" s="5">
        <v>2</v>
      </c>
      <c r="H506" s="1">
        <v>2.37</v>
      </c>
      <c r="I506" s="1">
        <v>3.5</v>
      </c>
      <c r="J506" s="1">
        <v>2.5499999999999998</v>
      </c>
      <c r="K506" s="6">
        <f>+H506-J506</f>
        <v>-0.17999999999999972</v>
      </c>
      <c r="L506" s="7" t="str">
        <f>IF(F506-G506&gt;0,"Win","Loss")</f>
        <v>Loss</v>
      </c>
      <c r="M506" s="14">
        <f t="shared" si="14"/>
        <v>-50</v>
      </c>
      <c r="N506" s="14">
        <f t="shared" si="15"/>
        <v>50</v>
      </c>
    </row>
    <row r="507" spans="1:14" ht="12.75" x14ac:dyDescent="0.2">
      <c r="A507" s="1" t="s">
        <v>1020</v>
      </c>
      <c r="B507" s="3" t="s">
        <v>1021</v>
      </c>
      <c r="C507" s="4">
        <v>43421</v>
      </c>
      <c r="D507" s="2">
        <v>0.45833333333333331</v>
      </c>
      <c r="E507" s="1" t="s">
        <v>703</v>
      </c>
      <c r="F507" s="5">
        <v>6</v>
      </c>
      <c r="G507" s="5">
        <v>0</v>
      </c>
      <c r="H507" s="1">
        <v>1.27</v>
      </c>
      <c r="I507" s="1">
        <v>5.64</v>
      </c>
      <c r="J507" s="1">
        <v>7.34</v>
      </c>
      <c r="K507" s="6">
        <f>+H507-J507</f>
        <v>-6.07</v>
      </c>
      <c r="L507" s="7" t="str">
        <f>IF(F507-G507&gt;0,"Win","Loss")</f>
        <v>Win</v>
      </c>
      <c r="M507" s="14">
        <f t="shared" si="14"/>
        <v>13.5</v>
      </c>
      <c r="N507" s="14">
        <f t="shared" si="15"/>
        <v>50</v>
      </c>
    </row>
    <row r="508" spans="1:14" ht="12.75" x14ac:dyDescent="0.2">
      <c r="A508" s="1" t="s">
        <v>1020</v>
      </c>
      <c r="B508" s="3" t="s">
        <v>1021</v>
      </c>
      <c r="C508" s="4">
        <v>43421</v>
      </c>
      <c r="D508" s="2">
        <v>0.41666666666666669</v>
      </c>
      <c r="E508" s="1" t="s">
        <v>704</v>
      </c>
      <c r="F508" s="5">
        <v>1</v>
      </c>
      <c r="G508" s="5" t="s">
        <v>980</v>
      </c>
      <c r="H508" s="1">
        <v>2.2999999999999998</v>
      </c>
      <c r="I508" s="1">
        <v>3.68</v>
      </c>
      <c r="J508" s="1">
        <v>2.5</v>
      </c>
      <c r="K508" s="6">
        <f>+H508-J508</f>
        <v>-0.20000000000000018</v>
      </c>
      <c r="L508" s="7" t="str">
        <f>IF(F508-G508&gt;0,"Win","Loss")</f>
        <v>Loss</v>
      </c>
      <c r="M508" s="14">
        <f t="shared" si="14"/>
        <v>-50</v>
      </c>
      <c r="N508" s="14">
        <f t="shared" si="15"/>
        <v>50</v>
      </c>
    </row>
    <row r="509" spans="1:14" ht="12.75" x14ac:dyDescent="0.2">
      <c r="A509" s="1" t="s">
        <v>1020</v>
      </c>
      <c r="B509" s="3" t="s">
        <v>1021</v>
      </c>
      <c r="C509" s="4">
        <v>43421</v>
      </c>
      <c r="D509" s="2">
        <v>0.41666666666666669</v>
      </c>
      <c r="E509" s="1" t="s">
        <v>705</v>
      </c>
      <c r="F509" s="5">
        <v>3</v>
      </c>
      <c r="G509" s="5">
        <v>0</v>
      </c>
      <c r="H509" s="1">
        <v>1.51</v>
      </c>
      <c r="I509" s="1">
        <v>4.72</v>
      </c>
      <c r="J509" s="1">
        <v>4.2699999999999996</v>
      </c>
      <c r="K509" s="6">
        <f>+H509-J509</f>
        <v>-2.76</v>
      </c>
      <c r="L509" s="7" t="str">
        <f>IF(F509-G509&gt;0,"Win","Loss")</f>
        <v>Win</v>
      </c>
      <c r="M509" s="14">
        <f t="shared" si="14"/>
        <v>25.5</v>
      </c>
      <c r="N509" s="14">
        <f t="shared" si="15"/>
        <v>50</v>
      </c>
    </row>
    <row r="510" spans="1:14" ht="12.75" x14ac:dyDescent="0.2">
      <c r="A510" s="1" t="s">
        <v>1020</v>
      </c>
      <c r="B510" s="3" t="s">
        <v>1021</v>
      </c>
      <c r="C510" s="4">
        <v>43421</v>
      </c>
      <c r="D510" s="2">
        <v>0.41666666666666669</v>
      </c>
      <c r="E510" s="1" t="s">
        <v>706</v>
      </c>
      <c r="F510" s="5">
        <v>2</v>
      </c>
      <c r="G510" s="5">
        <v>3</v>
      </c>
      <c r="H510" s="1">
        <v>1.66</v>
      </c>
      <c r="I510" s="1">
        <v>4.04</v>
      </c>
      <c r="J510" s="1">
        <v>4.05</v>
      </c>
      <c r="K510" s="6">
        <f>+H510-J510</f>
        <v>-2.3899999999999997</v>
      </c>
      <c r="L510" s="7" t="str">
        <f>IF(F510-G510&gt;0,"Win","Loss")</f>
        <v>Loss</v>
      </c>
      <c r="M510" s="14">
        <f t="shared" si="14"/>
        <v>-50</v>
      </c>
      <c r="N510" s="14">
        <f t="shared" si="15"/>
        <v>50</v>
      </c>
    </row>
    <row r="511" spans="1:14" ht="12.75" x14ac:dyDescent="0.2">
      <c r="A511" s="1" t="s">
        <v>1020</v>
      </c>
      <c r="B511" s="3" t="s">
        <v>1021</v>
      </c>
      <c r="C511" s="4">
        <v>43421</v>
      </c>
      <c r="D511" s="2">
        <v>0.375</v>
      </c>
      <c r="E511" s="1" t="s">
        <v>707</v>
      </c>
      <c r="F511" s="5">
        <v>2</v>
      </c>
      <c r="G511" s="5">
        <v>0</v>
      </c>
      <c r="H511" s="1">
        <v>3.65</v>
      </c>
      <c r="I511" s="1">
        <v>4.41</v>
      </c>
      <c r="J511" s="1">
        <v>1.69</v>
      </c>
      <c r="K511" s="6">
        <f>+H511-J511</f>
        <v>1.96</v>
      </c>
      <c r="L511" s="7" t="str">
        <f>IF(F511-G511&gt;0,"Win","Loss")</f>
        <v>Win</v>
      </c>
      <c r="M511" s="14">
        <f t="shared" si="14"/>
        <v>132.5</v>
      </c>
      <c r="N511" s="14">
        <f t="shared" si="15"/>
        <v>50</v>
      </c>
    </row>
    <row r="512" spans="1:14" ht="12.75" x14ac:dyDescent="0.2">
      <c r="A512" s="1" t="s">
        <v>996</v>
      </c>
      <c r="B512" s="3" t="s">
        <v>997</v>
      </c>
      <c r="C512" s="4">
        <v>43427</v>
      </c>
      <c r="D512" s="2">
        <v>0.70833333333333337</v>
      </c>
      <c r="E512" s="1" t="s">
        <v>117</v>
      </c>
      <c r="F512" s="5">
        <v>1</v>
      </c>
      <c r="G512" s="5">
        <v>0</v>
      </c>
      <c r="H512" s="1">
        <v>4.13</v>
      </c>
      <c r="I512" s="1">
        <v>2.91</v>
      </c>
      <c r="J512" s="1">
        <v>1.91</v>
      </c>
      <c r="K512" s="6">
        <f>+H512-J512</f>
        <v>2.2199999999999998</v>
      </c>
      <c r="L512" s="7" t="str">
        <f>IF(F512-G512&gt;0,"Win","Loss")</f>
        <v>Win</v>
      </c>
      <c r="M512" s="14">
        <f t="shared" si="14"/>
        <v>156.5</v>
      </c>
      <c r="N512" s="14">
        <f t="shared" si="15"/>
        <v>50</v>
      </c>
    </row>
    <row r="513" spans="1:14" ht="12.75" x14ac:dyDescent="0.2">
      <c r="A513" s="1" t="s">
        <v>1004</v>
      </c>
      <c r="B513" s="3" t="s">
        <v>1005</v>
      </c>
      <c r="C513" s="4">
        <v>43427</v>
      </c>
      <c r="D513" s="2">
        <v>0.36805555555555558</v>
      </c>
      <c r="E513" s="1" t="s">
        <v>323</v>
      </c>
      <c r="F513" s="5">
        <v>0</v>
      </c>
      <c r="G513" s="5">
        <v>2</v>
      </c>
      <c r="H513" s="1">
        <v>2.2400000000000002</v>
      </c>
      <c r="I513" s="1">
        <v>3.54</v>
      </c>
      <c r="J513" s="1">
        <v>3.08</v>
      </c>
      <c r="K513" s="6">
        <f>+H513-J513</f>
        <v>-0.83999999999999986</v>
      </c>
      <c r="L513" s="7" t="str">
        <f>IF(F513-G513&gt;0,"Win","Loss")</f>
        <v>Loss</v>
      </c>
      <c r="M513" s="14">
        <f t="shared" si="14"/>
        <v>-50</v>
      </c>
      <c r="N513" s="14">
        <f t="shared" si="15"/>
        <v>50</v>
      </c>
    </row>
    <row r="514" spans="1:14" ht="12.75" x14ac:dyDescent="0.2">
      <c r="A514" s="1" t="s">
        <v>996</v>
      </c>
      <c r="B514" s="3" t="s">
        <v>997</v>
      </c>
      <c r="C514" s="4">
        <v>43428</v>
      </c>
      <c r="D514" s="2">
        <v>0.66666666666666663</v>
      </c>
      <c r="E514" s="1" t="s">
        <v>116</v>
      </c>
      <c r="F514" s="5">
        <v>1</v>
      </c>
      <c r="G514" s="5">
        <v>0</v>
      </c>
      <c r="H514" s="1">
        <v>1.86</v>
      </c>
      <c r="I514" s="1">
        <v>3.13</v>
      </c>
      <c r="J514" s="1">
        <v>3.98</v>
      </c>
      <c r="K514" s="6">
        <f>+H514-J514</f>
        <v>-2.12</v>
      </c>
      <c r="L514" s="7" t="str">
        <f>IF(F514-G514&gt;0,"Win","Loss")</f>
        <v>Win</v>
      </c>
      <c r="M514" s="14">
        <f t="shared" si="14"/>
        <v>43</v>
      </c>
      <c r="N514" s="14">
        <f t="shared" si="15"/>
        <v>50</v>
      </c>
    </row>
    <row r="515" spans="1:14" ht="12.75" x14ac:dyDescent="0.2">
      <c r="A515" s="1" t="s">
        <v>1004</v>
      </c>
      <c r="B515" s="3" t="s">
        <v>1005</v>
      </c>
      <c r="C515" s="4">
        <v>43428</v>
      </c>
      <c r="D515" s="2">
        <v>0.36805555555555558</v>
      </c>
      <c r="E515" s="1" t="s">
        <v>321</v>
      </c>
      <c r="F515" s="5">
        <v>2</v>
      </c>
      <c r="G515" s="5">
        <v>0</v>
      </c>
      <c r="H515" s="1">
        <v>2.74</v>
      </c>
      <c r="I515" s="1">
        <v>3.34</v>
      </c>
      <c r="J515" s="1">
        <v>2.59</v>
      </c>
      <c r="K515" s="6">
        <f>+H515-J515</f>
        <v>0.15000000000000036</v>
      </c>
      <c r="L515" s="7" t="str">
        <f>IF(F515-G515&gt;0,"Win","Loss")</f>
        <v>Win</v>
      </c>
      <c r="M515" s="14">
        <f t="shared" si="14"/>
        <v>87</v>
      </c>
      <c r="N515" s="14">
        <f t="shared" si="15"/>
        <v>50</v>
      </c>
    </row>
    <row r="516" spans="1:14" ht="12.75" x14ac:dyDescent="0.2">
      <c r="A516" s="1" t="s">
        <v>1004</v>
      </c>
      <c r="B516" s="3" t="s">
        <v>1005</v>
      </c>
      <c r="C516" s="4">
        <v>43428</v>
      </c>
      <c r="D516" s="2">
        <v>0.27430555555555552</v>
      </c>
      <c r="E516" s="1" t="s">
        <v>322</v>
      </c>
      <c r="F516" s="5">
        <v>1</v>
      </c>
      <c r="G516" s="5">
        <v>3</v>
      </c>
      <c r="H516" s="1">
        <v>3</v>
      </c>
      <c r="I516" s="1">
        <v>3.42</v>
      </c>
      <c r="J516" s="1">
        <v>2.34</v>
      </c>
      <c r="K516" s="6">
        <f>+H516-J516</f>
        <v>0.66000000000000014</v>
      </c>
      <c r="L516" s="7" t="str">
        <f>IF(F516-G516&gt;0,"Win","Loss")</f>
        <v>Loss</v>
      </c>
      <c r="M516" s="14">
        <f t="shared" si="14"/>
        <v>-50</v>
      </c>
      <c r="N516" s="14">
        <f t="shared" si="15"/>
        <v>50</v>
      </c>
    </row>
    <row r="517" spans="1:14" ht="12.75" x14ac:dyDescent="0.2">
      <c r="A517" s="1" t="s">
        <v>1020</v>
      </c>
      <c r="B517" s="3" t="s">
        <v>1021</v>
      </c>
      <c r="C517" s="4">
        <v>43428</v>
      </c>
      <c r="D517" s="2">
        <v>0.5</v>
      </c>
      <c r="E517" s="1" t="s">
        <v>701</v>
      </c>
      <c r="F517" s="5">
        <v>0</v>
      </c>
      <c r="G517" s="5">
        <v>3</v>
      </c>
      <c r="H517" s="1">
        <v>1.23</v>
      </c>
      <c r="I517" s="1">
        <v>5.81</v>
      </c>
      <c r="J517" s="1">
        <v>8.7100000000000009</v>
      </c>
      <c r="K517" s="6">
        <f>+H517-J517</f>
        <v>-7.48</v>
      </c>
      <c r="L517" s="7" t="str">
        <f>IF(F517-G517&gt;0,"Win","Loss")</f>
        <v>Loss</v>
      </c>
      <c r="M517" s="14">
        <f t="shared" si="14"/>
        <v>-50</v>
      </c>
      <c r="N517" s="14">
        <f t="shared" si="15"/>
        <v>50</v>
      </c>
    </row>
    <row r="518" spans="1:14" ht="12.75" x14ac:dyDescent="0.2">
      <c r="A518" s="1" t="s">
        <v>1004</v>
      </c>
      <c r="B518" s="3" t="s">
        <v>1005</v>
      </c>
      <c r="C518" s="4">
        <v>43429</v>
      </c>
      <c r="D518" s="2">
        <v>0.33333333333333331</v>
      </c>
      <c r="E518" s="1" t="s">
        <v>319</v>
      </c>
      <c r="F518" s="5">
        <v>3</v>
      </c>
      <c r="G518" s="5">
        <v>2</v>
      </c>
      <c r="H518" s="1">
        <v>1.36</v>
      </c>
      <c r="I518" s="1">
        <v>5.18</v>
      </c>
      <c r="J518" s="1">
        <v>8.25</v>
      </c>
      <c r="K518" s="6">
        <f>+H518-J518</f>
        <v>-6.89</v>
      </c>
      <c r="L518" s="7" t="str">
        <f>IF(F518-G518&gt;0,"Win","Loss")</f>
        <v>Win</v>
      </c>
      <c r="M518" s="14">
        <f t="shared" si="14"/>
        <v>18</v>
      </c>
      <c r="N518" s="14">
        <f t="shared" si="15"/>
        <v>50</v>
      </c>
    </row>
    <row r="519" spans="1:14" ht="12.75" x14ac:dyDescent="0.2">
      <c r="A519" s="1" t="s">
        <v>1004</v>
      </c>
      <c r="B519" s="3" t="s">
        <v>1005</v>
      </c>
      <c r="C519" s="4">
        <v>43429</v>
      </c>
      <c r="D519" s="2">
        <v>0.25</v>
      </c>
      <c r="E519" s="1" t="s">
        <v>320</v>
      </c>
      <c r="F519" s="5">
        <v>1</v>
      </c>
      <c r="G519" s="5">
        <v>2</v>
      </c>
      <c r="H519" s="1">
        <v>2.02</v>
      </c>
      <c r="I519" s="1">
        <v>3.51</v>
      </c>
      <c r="J519" s="1">
        <v>3.65</v>
      </c>
      <c r="K519" s="6">
        <f>+H519-J519</f>
        <v>-1.63</v>
      </c>
      <c r="L519" s="7" t="str">
        <f>IF(F519-G519&gt;0,"Win","Loss")</f>
        <v>Loss</v>
      </c>
      <c r="M519" s="14">
        <f t="shared" si="14"/>
        <v>-50</v>
      </c>
      <c r="N519" s="14">
        <f t="shared" si="15"/>
        <v>50</v>
      </c>
    </row>
    <row r="520" spans="1:14" ht="12.75" x14ac:dyDescent="0.2">
      <c r="A520" s="1" t="s">
        <v>996</v>
      </c>
      <c r="B520" s="3" t="s">
        <v>997</v>
      </c>
      <c r="C520" s="4">
        <v>43434</v>
      </c>
      <c r="D520" s="2">
        <v>0.70833333333333337</v>
      </c>
      <c r="E520" s="1" t="s">
        <v>115</v>
      </c>
      <c r="F520" s="5">
        <v>2</v>
      </c>
      <c r="G520" s="5">
        <v>1</v>
      </c>
      <c r="H520" s="1">
        <v>1.37</v>
      </c>
      <c r="I520" s="1">
        <v>3.71</v>
      </c>
      <c r="J520" s="1">
        <v>8.4499999999999993</v>
      </c>
      <c r="K520" s="6">
        <f>+H520-J520</f>
        <v>-7.0799999999999992</v>
      </c>
      <c r="L520" s="7" t="str">
        <f>IF(F520-G520&gt;0,"Win","Loss")</f>
        <v>Win</v>
      </c>
      <c r="M520" s="14">
        <f t="shared" si="14"/>
        <v>18.5</v>
      </c>
      <c r="N520" s="14">
        <f t="shared" si="15"/>
        <v>50</v>
      </c>
    </row>
    <row r="521" spans="1:14" ht="12.75" x14ac:dyDescent="0.2">
      <c r="A521" s="1" t="s">
        <v>1004</v>
      </c>
      <c r="B521" s="3" t="s">
        <v>1005</v>
      </c>
      <c r="C521" s="4">
        <v>43434</v>
      </c>
      <c r="D521" s="2">
        <v>0.36805555555555558</v>
      </c>
      <c r="E521" s="1" t="s">
        <v>318</v>
      </c>
      <c r="F521" s="5">
        <v>2</v>
      </c>
      <c r="G521" s="5">
        <v>1</v>
      </c>
      <c r="H521" s="1">
        <v>2.02</v>
      </c>
      <c r="I521" s="1">
        <v>3.5</v>
      </c>
      <c r="J521" s="1">
        <v>3.63</v>
      </c>
      <c r="K521" s="6">
        <f>+H521-J521</f>
        <v>-1.6099999999999999</v>
      </c>
      <c r="L521" s="7" t="str">
        <f>IF(F521-G521&gt;0,"Win","Loss")</f>
        <v>Win</v>
      </c>
      <c r="M521" s="14">
        <f t="shared" si="14"/>
        <v>51</v>
      </c>
      <c r="N521" s="14">
        <f t="shared" si="15"/>
        <v>50</v>
      </c>
    </row>
    <row r="522" spans="1:14" ht="12.75" x14ac:dyDescent="0.2">
      <c r="A522" s="1" t="s">
        <v>1004</v>
      </c>
      <c r="B522" s="3" t="s">
        <v>1005</v>
      </c>
      <c r="C522" s="4">
        <v>43435</v>
      </c>
      <c r="D522" s="2">
        <v>0.36805555555555558</v>
      </c>
      <c r="E522" s="1" t="s">
        <v>316</v>
      </c>
      <c r="F522" s="5">
        <v>4</v>
      </c>
      <c r="G522" s="5">
        <v>0</v>
      </c>
      <c r="H522" s="1">
        <v>1.78</v>
      </c>
      <c r="I522" s="1">
        <v>3.87</v>
      </c>
      <c r="J522" s="1">
        <v>4.2699999999999996</v>
      </c>
      <c r="K522" s="6">
        <f>+H522-J522</f>
        <v>-2.4899999999999993</v>
      </c>
      <c r="L522" s="7" t="str">
        <f>IF(F522-G522&gt;0,"Win","Loss")</f>
        <v>Win</v>
      </c>
      <c r="M522" s="14">
        <f t="shared" si="14"/>
        <v>39</v>
      </c>
      <c r="N522" s="14">
        <f t="shared" si="15"/>
        <v>50</v>
      </c>
    </row>
    <row r="523" spans="1:14" ht="12.75" x14ac:dyDescent="0.2">
      <c r="A523" s="1" t="s">
        <v>1004</v>
      </c>
      <c r="B523" s="3" t="s">
        <v>1005</v>
      </c>
      <c r="C523" s="4">
        <v>43435</v>
      </c>
      <c r="D523" s="2">
        <v>0.27430555555555552</v>
      </c>
      <c r="E523" s="1" t="s">
        <v>317</v>
      </c>
      <c r="F523" s="5">
        <v>1</v>
      </c>
      <c r="G523" s="5">
        <v>2</v>
      </c>
      <c r="H523" s="1">
        <v>7.14</v>
      </c>
      <c r="I523" s="1">
        <v>4.66</v>
      </c>
      <c r="J523" s="1">
        <v>1.43</v>
      </c>
      <c r="K523" s="6">
        <f>+H523-J523</f>
        <v>5.71</v>
      </c>
      <c r="L523" s="7" t="str">
        <f>IF(F523-G523&gt;0,"Win","Loss")</f>
        <v>Loss</v>
      </c>
      <c r="M523" s="14">
        <f t="shared" si="14"/>
        <v>-50</v>
      </c>
      <c r="N523" s="14">
        <f t="shared" si="15"/>
        <v>50</v>
      </c>
    </row>
    <row r="524" spans="1:14" ht="12.75" x14ac:dyDescent="0.2">
      <c r="A524" s="1" t="s">
        <v>996</v>
      </c>
      <c r="B524" s="3" t="s">
        <v>997</v>
      </c>
      <c r="C524" s="4">
        <v>43436</v>
      </c>
      <c r="D524" s="2">
        <v>0.54166666666666663</v>
      </c>
      <c r="E524" s="1" t="s">
        <v>113</v>
      </c>
      <c r="F524" s="5">
        <v>1</v>
      </c>
      <c r="G524" s="5">
        <v>0</v>
      </c>
      <c r="H524" s="1">
        <v>4.6500000000000004</v>
      </c>
      <c r="I524" s="1">
        <v>3.5</v>
      </c>
      <c r="J524" s="1">
        <v>1.61</v>
      </c>
      <c r="K524" s="6">
        <f>+H524-J524</f>
        <v>3.04</v>
      </c>
      <c r="L524" s="7" t="str">
        <f>IF(F524-G524&gt;0,"Win","Loss")</f>
        <v>Win</v>
      </c>
      <c r="M524" s="14">
        <f t="shared" si="14"/>
        <v>182.50000000000003</v>
      </c>
      <c r="N524" s="14">
        <f t="shared" si="15"/>
        <v>50</v>
      </c>
    </row>
    <row r="525" spans="1:14" ht="12.75" x14ac:dyDescent="0.2">
      <c r="A525" s="1" t="s">
        <v>996</v>
      </c>
      <c r="B525" s="3" t="s">
        <v>997</v>
      </c>
      <c r="C525" s="4">
        <v>43436</v>
      </c>
      <c r="D525" s="2">
        <v>0.54166666666666663</v>
      </c>
      <c r="E525" s="1" t="s">
        <v>114</v>
      </c>
      <c r="F525" s="5">
        <v>0</v>
      </c>
      <c r="G525" s="5">
        <v>0</v>
      </c>
      <c r="H525" s="1">
        <v>1.35</v>
      </c>
      <c r="I525" s="1">
        <v>3.8</v>
      </c>
      <c r="J525" s="1">
        <v>7.88</v>
      </c>
      <c r="K525" s="6">
        <f>+H525-J525</f>
        <v>-6.5299999999999994</v>
      </c>
      <c r="L525" s="7" t="str">
        <f>IF(F525-G525&gt;0,"Win","Loss")</f>
        <v>Loss</v>
      </c>
      <c r="M525" s="14">
        <f t="shared" si="14"/>
        <v>-50</v>
      </c>
      <c r="N525" s="14">
        <f t="shared" si="15"/>
        <v>50</v>
      </c>
    </row>
    <row r="526" spans="1:14" ht="12.75" x14ac:dyDescent="0.2">
      <c r="A526" s="1" t="s">
        <v>1004</v>
      </c>
      <c r="B526" s="3" t="s">
        <v>1005</v>
      </c>
      <c r="C526" s="4">
        <v>43436</v>
      </c>
      <c r="D526" s="2">
        <v>0.33333333333333331</v>
      </c>
      <c r="E526" s="1" t="s">
        <v>292</v>
      </c>
      <c r="F526" s="5">
        <v>3</v>
      </c>
      <c r="G526" s="5">
        <v>0</v>
      </c>
      <c r="H526" s="1">
        <v>2.12</v>
      </c>
      <c r="I526" s="1">
        <v>3.53</v>
      </c>
      <c r="J526" s="1">
        <v>3.32</v>
      </c>
      <c r="K526" s="6">
        <f>+H526-J526</f>
        <v>-1.1999999999999997</v>
      </c>
      <c r="L526" s="7" t="str">
        <f>IF(F526-G526&gt;0,"Win","Loss")</f>
        <v>Win</v>
      </c>
      <c r="M526" s="14">
        <f t="shared" ref="M526:M589" si="16">IF(L526="Win",(H526*N526)-N526,-N526)</f>
        <v>56</v>
      </c>
      <c r="N526" s="14">
        <f t="shared" ref="N526:N589" si="17">+$M$1</f>
        <v>50</v>
      </c>
    </row>
    <row r="527" spans="1:14" ht="12.75" x14ac:dyDescent="0.2">
      <c r="A527" s="1" t="s">
        <v>1004</v>
      </c>
      <c r="B527" s="3" t="s">
        <v>1005</v>
      </c>
      <c r="C527" s="4">
        <v>43436</v>
      </c>
      <c r="D527" s="2">
        <v>0.25</v>
      </c>
      <c r="E527" s="1" t="s">
        <v>315</v>
      </c>
      <c r="F527" s="5">
        <v>1</v>
      </c>
      <c r="G527" s="5">
        <v>1</v>
      </c>
      <c r="H527" s="1">
        <v>3.25</v>
      </c>
      <c r="I527" s="1">
        <v>3.67</v>
      </c>
      <c r="J527" s="1">
        <v>2.1</v>
      </c>
      <c r="K527" s="6">
        <f>+H527-J527</f>
        <v>1.1499999999999999</v>
      </c>
      <c r="L527" s="7" t="str">
        <f>IF(F527-G527&gt;0,"Win","Loss")</f>
        <v>Loss</v>
      </c>
      <c r="M527" s="14">
        <f t="shared" si="16"/>
        <v>-50</v>
      </c>
      <c r="N527" s="14">
        <f t="shared" si="17"/>
        <v>50</v>
      </c>
    </row>
    <row r="528" spans="1:14" ht="12.75" x14ac:dyDescent="0.2">
      <c r="A528" s="1" t="s">
        <v>1026</v>
      </c>
      <c r="B528" s="3" t="s">
        <v>1028</v>
      </c>
      <c r="C528" s="4">
        <v>43438</v>
      </c>
      <c r="D528" s="2">
        <v>0.82291666666666663</v>
      </c>
      <c r="E528" s="1" t="s">
        <v>895</v>
      </c>
      <c r="F528" s="5">
        <v>3</v>
      </c>
      <c r="G528" s="5" t="s">
        <v>980</v>
      </c>
      <c r="H528" s="1">
        <v>1.89</v>
      </c>
      <c r="I528" s="1">
        <v>3.66</v>
      </c>
      <c r="J528" s="1">
        <v>3.73</v>
      </c>
      <c r="K528" s="6">
        <f>+H528-J528</f>
        <v>-1.84</v>
      </c>
      <c r="L528" s="7" t="str">
        <f>IF(F528-G528&gt;0,"Win","Loss")</f>
        <v>Win</v>
      </c>
      <c r="M528" s="14">
        <f t="shared" si="16"/>
        <v>44.5</v>
      </c>
      <c r="N528" s="14">
        <f t="shared" si="17"/>
        <v>50</v>
      </c>
    </row>
    <row r="529" spans="1:14" ht="12.75" x14ac:dyDescent="0.2">
      <c r="A529" s="1" t="s">
        <v>1026</v>
      </c>
      <c r="B529" s="3" t="s">
        <v>1028</v>
      </c>
      <c r="C529" s="4">
        <v>43438</v>
      </c>
      <c r="D529" s="2">
        <v>0.82291666666666663</v>
      </c>
      <c r="E529" s="1" t="s">
        <v>896</v>
      </c>
      <c r="F529" s="5">
        <v>1</v>
      </c>
      <c r="G529" s="5" t="s">
        <v>980</v>
      </c>
      <c r="H529" s="1">
        <v>2.3199999999999998</v>
      </c>
      <c r="I529" s="1">
        <v>3.36</v>
      </c>
      <c r="J529" s="1">
        <v>2.92</v>
      </c>
      <c r="K529" s="6">
        <f>+H529-J529</f>
        <v>-0.60000000000000009</v>
      </c>
      <c r="L529" s="7" t="str">
        <f>IF(F529-G529&gt;0,"Win","Loss")</f>
        <v>Loss</v>
      </c>
      <c r="M529" s="14">
        <f t="shared" si="16"/>
        <v>-50</v>
      </c>
      <c r="N529" s="14">
        <f t="shared" si="17"/>
        <v>50</v>
      </c>
    </row>
    <row r="530" spans="1:14" ht="12.75" x14ac:dyDescent="0.2">
      <c r="A530" s="1" t="s">
        <v>1026</v>
      </c>
      <c r="B530" s="3" t="s">
        <v>1028</v>
      </c>
      <c r="C530" s="4">
        <v>43438</v>
      </c>
      <c r="D530" s="2">
        <v>0.82291666666666663</v>
      </c>
      <c r="E530" s="1" t="s">
        <v>897</v>
      </c>
      <c r="F530" s="5">
        <v>2</v>
      </c>
      <c r="G530" s="5" t="s">
        <v>979</v>
      </c>
      <c r="H530" s="1">
        <v>2.4900000000000002</v>
      </c>
      <c r="I530" s="1">
        <v>3.35</v>
      </c>
      <c r="J530" s="1">
        <v>2.7</v>
      </c>
      <c r="K530" s="6">
        <f>+H530-J530</f>
        <v>-0.20999999999999996</v>
      </c>
      <c r="L530" s="7" t="str">
        <f>IF(F530-G530&gt;0,"Win","Loss")</f>
        <v>Win</v>
      </c>
      <c r="M530" s="14">
        <f t="shared" si="16"/>
        <v>74.500000000000014</v>
      </c>
      <c r="N530" s="14">
        <f t="shared" si="17"/>
        <v>50</v>
      </c>
    </row>
    <row r="531" spans="1:14" ht="12.75" x14ac:dyDescent="0.2">
      <c r="A531" s="1" t="s">
        <v>1026</v>
      </c>
      <c r="B531" s="3" t="s">
        <v>1028</v>
      </c>
      <c r="C531" s="4">
        <v>43438</v>
      </c>
      <c r="D531" s="2">
        <v>0.82291666666666663</v>
      </c>
      <c r="E531" s="1" t="s">
        <v>898</v>
      </c>
      <c r="F531" s="5">
        <v>0</v>
      </c>
      <c r="G531" s="5">
        <v>1</v>
      </c>
      <c r="H531" s="1">
        <v>1.88</v>
      </c>
      <c r="I531" s="1">
        <v>3.66</v>
      </c>
      <c r="J531" s="1">
        <v>3.79</v>
      </c>
      <c r="K531" s="6">
        <f>+H531-J531</f>
        <v>-1.9100000000000001</v>
      </c>
      <c r="L531" s="7" t="str">
        <f>IF(F531-G531&gt;0,"Win","Loss")</f>
        <v>Loss</v>
      </c>
      <c r="M531" s="14">
        <f t="shared" si="16"/>
        <v>-50</v>
      </c>
      <c r="N531" s="14">
        <f t="shared" si="17"/>
        <v>50</v>
      </c>
    </row>
    <row r="532" spans="1:14" ht="12.75" x14ac:dyDescent="0.2">
      <c r="A532" s="1" t="s">
        <v>1026</v>
      </c>
      <c r="B532" s="3" t="s">
        <v>1028</v>
      </c>
      <c r="C532" s="4">
        <v>43438</v>
      </c>
      <c r="D532" s="2">
        <v>0.82291666666666663</v>
      </c>
      <c r="E532" s="1" t="s">
        <v>899</v>
      </c>
      <c r="F532" s="5">
        <v>4</v>
      </c>
      <c r="G532" s="5">
        <v>0</v>
      </c>
      <c r="H532" s="1">
        <v>2.4900000000000002</v>
      </c>
      <c r="I532" s="1">
        <v>3.51</v>
      </c>
      <c r="J532" s="1">
        <v>2.6</v>
      </c>
      <c r="K532" s="6">
        <f>+H532-J532</f>
        <v>-0.10999999999999988</v>
      </c>
      <c r="L532" s="7" t="str">
        <f>IF(F532-G532&gt;0,"Win","Loss")</f>
        <v>Win</v>
      </c>
      <c r="M532" s="14">
        <f t="shared" si="16"/>
        <v>74.500000000000014</v>
      </c>
      <c r="N532" s="14">
        <f t="shared" si="17"/>
        <v>50</v>
      </c>
    </row>
    <row r="533" spans="1:14" ht="12.75" x14ac:dyDescent="0.2">
      <c r="A533" s="1" t="s">
        <v>1026</v>
      </c>
      <c r="B533" s="3" t="s">
        <v>1028</v>
      </c>
      <c r="C533" s="4">
        <v>43438</v>
      </c>
      <c r="D533" s="2">
        <v>0.82291666666666663</v>
      </c>
      <c r="E533" s="1" t="s">
        <v>900</v>
      </c>
      <c r="F533" s="5">
        <v>2</v>
      </c>
      <c r="G533" s="5">
        <v>1</v>
      </c>
      <c r="H533" s="1">
        <v>1.77</v>
      </c>
      <c r="I533" s="1">
        <v>3.88</v>
      </c>
      <c r="J533" s="1">
        <v>4.04</v>
      </c>
      <c r="K533" s="6">
        <f>+H533-J533</f>
        <v>-2.27</v>
      </c>
      <c r="L533" s="7" t="str">
        <f>IF(F533-G533&gt;0,"Win","Loss")</f>
        <v>Win</v>
      </c>
      <c r="M533" s="14">
        <f t="shared" si="16"/>
        <v>38.5</v>
      </c>
      <c r="N533" s="14">
        <f t="shared" si="17"/>
        <v>50</v>
      </c>
    </row>
    <row r="534" spans="1:14" ht="12.75" x14ac:dyDescent="0.2">
      <c r="A534" s="1" t="s">
        <v>1026</v>
      </c>
      <c r="B534" s="3" t="s">
        <v>1028</v>
      </c>
      <c r="C534" s="4">
        <v>43438</v>
      </c>
      <c r="D534" s="2">
        <v>0.82291666666666663</v>
      </c>
      <c r="E534" s="1" t="s">
        <v>901</v>
      </c>
      <c r="F534" s="5">
        <v>2</v>
      </c>
      <c r="G534" s="5">
        <v>0</v>
      </c>
      <c r="H534" s="1">
        <v>1.38</v>
      </c>
      <c r="I534" s="1">
        <v>4.6900000000000004</v>
      </c>
      <c r="J534" s="1">
        <v>7.37</v>
      </c>
      <c r="K534" s="6">
        <f>+H534-J534</f>
        <v>-5.99</v>
      </c>
      <c r="L534" s="7" t="str">
        <f>IF(F534-G534&gt;0,"Win","Loss")</f>
        <v>Win</v>
      </c>
      <c r="M534" s="14">
        <f t="shared" si="16"/>
        <v>19</v>
      </c>
      <c r="N534" s="14">
        <f t="shared" si="17"/>
        <v>50</v>
      </c>
    </row>
    <row r="535" spans="1:14" ht="12.75" x14ac:dyDescent="0.2">
      <c r="A535" s="1" t="s">
        <v>1026</v>
      </c>
      <c r="B535" s="3" t="s">
        <v>1028</v>
      </c>
      <c r="C535" s="4">
        <v>43438</v>
      </c>
      <c r="D535" s="2">
        <v>0.8125</v>
      </c>
      <c r="E535" s="1" t="s">
        <v>902</v>
      </c>
      <c r="F535" s="5">
        <v>3</v>
      </c>
      <c r="G535" s="5" t="s">
        <v>982</v>
      </c>
      <c r="H535" s="1">
        <v>2.02</v>
      </c>
      <c r="I535" s="1">
        <v>3.51</v>
      </c>
      <c r="J535" s="1">
        <v>3.44</v>
      </c>
      <c r="K535" s="6">
        <f>+H535-J535</f>
        <v>-1.42</v>
      </c>
      <c r="L535" s="7" t="str">
        <f>IF(F535-G535&gt;0,"Win","Loss")</f>
        <v>Loss</v>
      </c>
      <c r="M535" s="14">
        <f t="shared" si="16"/>
        <v>-50</v>
      </c>
      <c r="N535" s="14">
        <f t="shared" si="17"/>
        <v>50</v>
      </c>
    </row>
    <row r="536" spans="1:14" ht="12.75" x14ac:dyDescent="0.2">
      <c r="A536" s="1" t="s">
        <v>1026</v>
      </c>
      <c r="B536" s="3" t="s">
        <v>1028</v>
      </c>
      <c r="C536" s="4">
        <v>43438</v>
      </c>
      <c r="D536" s="2">
        <v>0.80208333333333337</v>
      </c>
      <c r="E536" s="1" t="s">
        <v>903</v>
      </c>
      <c r="F536" s="5">
        <v>0</v>
      </c>
      <c r="G536" s="5">
        <v>2</v>
      </c>
      <c r="H536" s="1">
        <v>3.79</v>
      </c>
      <c r="I536" s="1">
        <v>3.37</v>
      </c>
      <c r="J536" s="1">
        <v>1.96</v>
      </c>
      <c r="K536" s="6">
        <f>+H536-J536</f>
        <v>1.83</v>
      </c>
      <c r="L536" s="7" t="str">
        <f>IF(F536-G536&gt;0,"Win","Loss")</f>
        <v>Loss</v>
      </c>
      <c r="M536" s="14">
        <f t="shared" si="16"/>
        <v>-50</v>
      </c>
      <c r="N536" s="14">
        <f t="shared" si="17"/>
        <v>50</v>
      </c>
    </row>
    <row r="537" spans="1:14" ht="12.75" x14ac:dyDescent="0.2">
      <c r="A537" s="1" t="s">
        <v>1026</v>
      </c>
      <c r="B537" s="3" t="s">
        <v>1028</v>
      </c>
      <c r="C537" s="4">
        <v>43438</v>
      </c>
      <c r="D537" s="2">
        <v>0.79166666666666663</v>
      </c>
      <c r="E537" s="1" t="s">
        <v>904</v>
      </c>
      <c r="F537" s="5">
        <v>2</v>
      </c>
      <c r="G537" s="5">
        <v>1</v>
      </c>
      <c r="H537" s="1">
        <v>1.6</v>
      </c>
      <c r="I537" s="1">
        <v>4.0199999999999996</v>
      </c>
      <c r="J537" s="1">
        <v>5.12</v>
      </c>
      <c r="K537" s="6">
        <f>+H537-J537</f>
        <v>-3.52</v>
      </c>
      <c r="L537" s="7" t="str">
        <f>IF(F537-G537&gt;0,"Win","Loss")</f>
        <v>Win</v>
      </c>
      <c r="M537" s="14">
        <f t="shared" si="16"/>
        <v>30</v>
      </c>
      <c r="N537" s="14">
        <f t="shared" si="17"/>
        <v>50</v>
      </c>
    </row>
    <row r="538" spans="1:14" ht="12.75" x14ac:dyDescent="0.2">
      <c r="A538" s="1" t="s">
        <v>1026</v>
      </c>
      <c r="B538" s="3" t="s">
        <v>1028</v>
      </c>
      <c r="C538" s="4">
        <v>43438</v>
      </c>
      <c r="D538" s="2">
        <v>0.79166666666666663</v>
      </c>
      <c r="E538" s="1" t="s">
        <v>905</v>
      </c>
      <c r="F538" s="5">
        <v>2</v>
      </c>
      <c r="G538" s="5" t="s">
        <v>979</v>
      </c>
      <c r="H538" s="1">
        <v>1.59</v>
      </c>
      <c r="I538" s="1">
        <v>4.08</v>
      </c>
      <c r="J538" s="1">
        <v>4.84</v>
      </c>
      <c r="K538" s="6">
        <f>+H538-J538</f>
        <v>-3.25</v>
      </c>
      <c r="L538" s="7" t="str">
        <f>IF(F538-G538&gt;0,"Win","Loss")</f>
        <v>Win</v>
      </c>
      <c r="M538" s="14">
        <f t="shared" si="16"/>
        <v>29.5</v>
      </c>
      <c r="N538" s="14">
        <f t="shared" si="17"/>
        <v>50</v>
      </c>
    </row>
    <row r="539" spans="1:14" ht="12.75" x14ac:dyDescent="0.2">
      <c r="A539" s="1" t="s">
        <v>1020</v>
      </c>
      <c r="B539" s="3" t="s">
        <v>1021</v>
      </c>
      <c r="C539" s="4">
        <v>43439</v>
      </c>
      <c r="D539" s="2">
        <v>0.41666666666666669</v>
      </c>
      <c r="E539" s="1" t="s">
        <v>700</v>
      </c>
      <c r="F539" s="5">
        <v>1</v>
      </c>
      <c r="G539" s="5" t="s">
        <v>980</v>
      </c>
      <c r="H539" s="1">
        <v>2.0499999999999998</v>
      </c>
      <c r="I539" s="1">
        <v>4.1100000000000003</v>
      </c>
      <c r="J539" s="1">
        <v>2.77</v>
      </c>
      <c r="K539" s="6">
        <f>+H539-J539</f>
        <v>-0.7200000000000002</v>
      </c>
      <c r="L539" s="7" t="str">
        <f>IF(F539-G539&gt;0,"Win","Loss")</f>
        <v>Loss</v>
      </c>
      <c r="M539" s="14">
        <f t="shared" si="16"/>
        <v>-50</v>
      </c>
      <c r="N539" s="14">
        <f t="shared" si="17"/>
        <v>50</v>
      </c>
    </row>
    <row r="540" spans="1:14" ht="12.75" x14ac:dyDescent="0.2">
      <c r="A540" s="1" t="s">
        <v>1026</v>
      </c>
      <c r="B540" s="3" t="s">
        <v>1028</v>
      </c>
      <c r="C540" s="4">
        <v>43439</v>
      </c>
      <c r="D540" s="2">
        <v>0.82291666666666663</v>
      </c>
      <c r="E540" s="1" t="s">
        <v>892</v>
      </c>
      <c r="F540" s="5">
        <v>1</v>
      </c>
      <c r="G540" s="5" t="s">
        <v>980</v>
      </c>
      <c r="H540" s="1">
        <v>1.87</v>
      </c>
      <c r="I540" s="1">
        <v>3.66</v>
      </c>
      <c r="J540" s="1">
        <v>3.76</v>
      </c>
      <c r="K540" s="6">
        <f>+H540-J540</f>
        <v>-1.8899999999999997</v>
      </c>
      <c r="L540" s="7" t="str">
        <f>IF(F540-G540&gt;0,"Win","Loss")</f>
        <v>Loss</v>
      </c>
      <c r="M540" s="14">
        <f t="shared" si="16"/>
        <v>-50</v>
      </c>
      <c r="N540" s="14">
        <f t="shared" si="17"/>
        <v>50</v>
      </c>
    </row>
    <row r="541" spans="1:14" ht="12.75" x14ac:dyDescent="0.2">
      <c r="A541" s="1" t="s">
        <v>1026</v>
      </c>
      <c r="B541" s="3" t="s">
        <v>1028</v>
      </c>
      <c r="C541" s="4">
        <v>43439</v>
      </c>
      <c r="D541" s="2">
        <v>0.82291666666666663</v>
      </c>
      <c r="E541" s="1" t="s">
        <v>893</v>
      </c>
      <c r="F541" s="5">
        <v>1</v>
      </c>
      <c r="G541" s="5">
        <v>2</v>
      </c>
      <c r="H541" s="1">
        <v>2.1</v>
      </c>
      <c r="I541" s="1">
        <v>3.42</v>
      </c>
      <c r="J541" s="1">
        <v>3.29</v>
      </c>
      <c r="K541" s="6">
        <f>+H541-J541</f>
        <v>-1.19</v>
      </c>
      <c r="L541" s="7" t="str">
        <f>IF(F541-G541&gt;0,"Win","Loss")</f>
        <v>Loss</v>
      </c>
      <c r="M541" s="14">
        <f t="shared" si="16"/>
        <v>-50</v>
      </c>
      <c r="N541" s="14">
        <f t="shared" si="17"/>
        <v>50</v>
      </c>
    </row>
    <row r="542" spans="1:14" ht="12.75" x14ac:dyDescent="0.2">
      <c r="A542" s="1" t="s">
        <v>1026</v>
      </c>
      <c r="B542" s="3" t="s">
        <v>1028</v>
      </c>
      <c r="C542" s="4">
        <v>43439</v>
      </c>
      <c r="D542" s="2">
        <v>0.8125</v>
      </c>
      <c r="E542" s="1" t="s">
        <v>894</v>
      </c>
      <c r="F542" s="5">
        <v>2</v>
      </c>
      <c r="G542" s="5">
        <v>1</v>
      </c>
      <c r="H542" s="1">
        <v>2.11</v>
      </c>
      <c r="I542" s="1">
        <v>3.27</v>
      </c>
      <c r="J542" s="1">
        <v>3.4</v>
      </c>
      <c r="K542" s="6">
        <f>+H542-J542</f>
        <v>-1.29</v>
      </c>
      <c r="L542" s="7" t="str">
        <f>IF(F542-G542&gt;0,"Win","Loss")</f>
        <v>Win</v>
      </c>
      <c r="M542" s="14">
        <f t="shared" si="16"/>
        <v>55.5</v>
      </c>
      <c r="N542" s="14">
        <f t="shared" si="17"/>
        <v>50</v>
      </c>
    </row>
    <row r="543" spans="1:14" ht="12.75" x14ac:dyDescent="0.2">
      <c r="A543" s="1" t="s">
        <v>996</v>
      </c>
      <c r="B543" s="3" t="s">
        <v>997</v>
      </c>
      <c r="C543" s="4">
        <v>43441</v>
      </c>
      <c r="D543" s="2">
        <v>0.54166666666666663</v>
      </c>
      <c r="E543" s="1" t="s">
        <v>112</v>
      </c>
      <c r="F543" s="5">
        <v>1</v>
      </c>
      <c r="G543" s="5">
        <v>0</v>
      </c>
      <c r="H543" s="1">
        <v>2.2400000000000002</v>
      </c>
      <c r="I543" s="1">
        <v>2.9</v>
      </c>
      <c r="J543" s="1">
        <v>3.13</v>
      </c>
      <c r="K543" s="6">
        <f>+H543-J543</f>
        <v>-0.88999999999999968</v>
      </c>
      <c r="L543" s="7" t="str">
        <f>IF(F543-G543&gt;0,"Win","Loss")</f>
        <v>Win</v>
      </c>
      <c r="M543" s="14">
        <f t="shared" si="16"/>
        <v>62.000000000000014</v>
      </c>
      <c r="N543" s="14">
        <f t="shared" si="17"/>
        <v>50</v>
      </c>
    </row>
    <row r="544" spans="1:14" ht="12.75" x14ac:dyDescent="0.2">
      <c r="A544" s="1" t="s">
        <v>1004</v>
      </c>
      <c r="B544" s="3" t="s">
        <v>1005</v>
      </c>
      <c r="C544" s="4">
        <v>43441</v>
      </c>
      <c r="D544" s="2">
        <v>0.36805555555555558</v>
      </c>
      <c r="E544" s="1" t="s">
        <v>314</v>
      </c>
      <c r="F544" s="5">
        <v>2</v>
      </c>
      <c r="G544" s="5">
        <v>0</v>
      </c>
      <c r="H544" s="1">
        <v>1.65</v>
      </c>
      <c r="I544" s="1">
        <v>4.0199999999999996</v>
      </c>
      <c r="J544" s="1">
        <v>4.9800000000000004</v>
      </c>
      <c r="K544" s="6">
        <f>+H544-J544</f>
        <v>-3.3300000000000005</v>
      </c>
      <c r="L544" s="7" t="str">
        <f>IF(F544-G544&gt;0,"Win","Loss")</f>
        <v>Win</v>
      </c>
      <c r="M544" s="14">
        <f t="shared" si="16"/>
        <v>32.5</v>
      </c>
      <c r="N544" s="14">
        <f t="shared" si="17"/>
        <v>50</v>
      </c>
    </row>
    <row r="545" spans="1:14" ht="12.75" x14ac:dyDescent="0.2">
      <c r="A545" s="1" t="s">
        <v>996</v>
      </c>
      <c r="B545" s="3" t="s">
        <v>997</v>
      </c>
      <c r="C545" s="4">
        <v>43442</v>
      </c>
      <c r="D545" s="2">
        <v>0.66666666666666663</v>
      </c>
      <c r="E545" s="1" t="s">
        <v>110</v>
      </c>
      <c r="F545" s="5">
        <v>1</v>
      </c>
      <c r="G545" s="5">
        <v>1</v>
      </c>
      <c r="H545" s="1">
        <v>2.44</v>
      </c>
      <c r="I545" s="1">
        <v>3.1</v>
      </c>
      <c r="J545" s="1">
        <v>2.67</v>
      </c>
      <c r="K545" s="6">
        <f>+H545-J545</f>
        <v>-0.22999999999999998</v>
      </c>
      <c r="L545" s="7" t="str">
        <f>IF(F545-G545&gt;0,"Win","Loss")</f>
        <v>Loss</v>
      </c>
      <c r="M545" s="14">
        <f t="shared" si="16"/>
        <v>-50</v>
      </c>
      <c r="N545" s="14">
        <f t="shared" si="17"/>
        <v>50</v>
      </c>
    </row>
    <row r="546" spans="1:14" ht="12.75" x14ac:dyDescent="0.2">
      <c r="A546" s="1" t="s">
        <v>996</v>
      </c>
      <c r="B546" s="3" t="s">
        <v>997</v>
      </c>
      <c r="C546" s="4">
        <v>43442</v>
      </c>
      <c r="D546" s="2">
        <v>0.54166666666666663</v>
      </c>
      <c r="E546" s="1" t="s">
        <v>111</v>
      </c>
      <c r="F546" s="5">
        <v>4</v>
      </c>
      <c r="G546" s="5">
        <v>0</v>
      </c>
      <c r="H546" s="1">
        <v>1.83</v>
      </c>
      <c r="I546" s="1">
        <v>3.62</v>
      </c>
      <c r="J546" s="1">
        <v>3.62</v>
      </c>
      <c r="K546" s="6">
        <f>+H546-J546</f>
        <v>-1.79</v>
      </c>
      <c r="L546" s="7" t="str">
        <f>IF(F546-G546&gt;0,"Win","Loss")</f>
        <v>Win</v>
      </c>
      <c r="M546" s="14">
        <f t="shared" si="16"/>
        <v>41.5</v>
      </c>
      <c r="N546" s="14">
        <f t="shared" si="17"/>
        <v>50</v>
      </c>
    </row>
    <row r="547" spans="1:14" ht="12.75" x14ac:dyDescent="0.2">
      <c r="A547" s="1" t="s">
        <v>1004</v>
      </c>
      <c r="B547" s="3" t="s">
        <v>1005</v>
      </c>
      <c r="C547" s="4">
        <v>43442</v>
      </c>
      <c r="D547" s="2">
        <v>0.45833333333333331</v>
      </c>
      <c r="E547" s="1" t="s">
        <v>311</v>
      </c>
      <c r="F547" s="5">
        <v>1</v>
      </c>
      <c r="G547" s="5">
        <v>0</v>
      </c>
      <c r="H547" s="1">
        <v>2.14</v>
      </c>
      <c r="I547" s="1">
        <v>3.42</v>
      </c>
      <c r="J547" s="1">
        <v>3.43</v>
      </c>
      <c r="K547" s="6">
        <f>+H547-J547</f>
        <v>-1.29</v>
      </c>
      <c r="L547" s="7" t="str">
        <f>IF(F547-G547&gt;0,"Win","Loss")</f>
        <v>Win</v>
      </c>
      <c r="M547" s="14">
        <f t="shared" si="16"/>
        <v>57</v>
      </c>
      <c r="N547" s="14">
        <f t="shared" si="17"/>
        <v>50</v>
      </c>
    </row>
    <row r="548" spans="1:14" ht="12.75" x14ac:dyDescent="0.2">
      <c r="A548" s="1" t="s">
        <v>1004</v>
      </c>
      <c r="B548" s="3" t="s">
        <v>1005</v>
      </c>
      <c r="C548" s="4">
        <v>43442</v>
      </c>
      <c r="D548" s="2">
        <v>0.36805555555555558</v>
      </c>
      <c r="E548" s="1" t="s">
        <v>312</v>
      </c>
      <c r="F548" s="5">
        <v>2</v>
      </c>
      <c r="G548" s="5">
        <v>0</v>
      </c>
      <c r="H548" s="1">
        <v>1.98</v>
      </c>
      <c r="I548" s="1">
        <v>3.57</v>
      </c>
      <c r="J548" s="1">
        <v>3.77</v>
      </c>
      <c r="K548" s="6">
        <f>+H548-J548</f>
        <v>-1.79</v>
      </c>
      <c r="L548" s="7" t="str">
        <f>IF(F548-G548&gt;0,"Win","Loss")</f>
        <v>Win</v>
      </c>
      <c r="M548" s="14">
        <f t="shared" si="16"/>
        <v>49</v>
      </c>
      <c r="N548" s="14">
        <f t="shared" si="17"/>
        <v>50</v>
      </c>
    </row>
    <row r="549" spans="1:14" ht="12.75" x14ac:dyDescent="0.2">
      <c r="A549" s="1" t="s">
        <v>1004</v>
      </c>
      <c r="B549" s="3" t="s">
        <v>1005</v>
      </c>
      <c r="C549" s="4">
        <v>43442</v>
      </c>
      <c r="D549" s="2">
        <v>0.27430555555555552</v>
      </c>
      <c r="E549" s="1" t="s">
        <v>313</v>
      </c>
      <c r="F549" s="5">
        <v>1</v>
      </c>
      <c r="G549" s="5">
        <v>3</v>
      </c>
      <c r="H549" s="1">
        <v>1.42</v>
      </c>
      <c r="I549" s="1">
        <v>4.4800000000000004</v>
      </c>
      <c r="J549" s="1">
        <v>7.8</v>
      </c>
      <c r="K549" s="6">
        <f>+H549-J549</f>
        <v>-6.38</v>
      </c>
      <c r="L549" s="7" t="str">
        <f>IF(F549-G549&gt;0,"Win","Loss")</f>
        <v>Loss</v>
      </c>
      <c r="M549" s="14">
        <f t="shared" si="16"/>
        <v>-50</v>
      </c>
      <c r="N549" s="14">
        <f t="shared" si="17"/>
        <v>50</v>
      </c>
    </row>
    <row r="550" spans="1:14" ht="12.75" x14ac:dyDescent="0.2">
      <c r="A550" s="1" t="s">
        <v>996</v>
      </c>
      <c r="B550" s="3" t="s">
        <v>997</v>
      </c>
      <c r="C550" s="4">
        <v>43443</v>
      </c>
      <c r="D550" s="2">
        <v>0.66666666666666663</v>
      </c>
      <c r="E550" s="1" t="s">
        <v>108</v>
      </c>
      <c r="F550" s="5">
        <v>1</v>
      </c>
      <c r="G550" s="5">
        <v>0</v>
      </c>
      <c r="H550" s="1">
        <v>2.0099999999999998</v>
      </c>
      <c r="I550" s="1">
        <v>2.9</v>
      </c>
      <c r="J550" s="1">
        <v>3.64</v>
      </c>
      <c r="K550" s="6">
        <f>+H550-J550</f>
        <v>-1.6300000000000003</v>
      </c>
      <c r="L550" s="7" t="str">
        <f>IF(F550-G550&gt;0,"Win","Loss")</f>
        <v>Win</v>
      </c>
      <c r="M550" s="14">
        <f t="shared" si="16"/>
        <v>50.499999999999986</v>
      </c>
      <c r="N550" s="14">
        <f t="shared" si="17"/>
        <v>50</v>
      </c>
    </row>
    <row r="551" spans="1:14" ht="12.75" x14ac:dyDescent="0.2">
      <c r="A551" s="1" t="s">
        <v>996</v>
      </c>
      <c r="B551" s="3" t="s">
        <v>997</v>
      </c>
      <c r="C551" s="4">
        <v>43443</v>
      </c>
      <c r="D551" s="2">
        <v>0.52083333333333337</v>
      </c>
      <c r="E551" s="1" t="s">
        <v>109</v>
      </c>
      <c r="F551" s="5">
        <v>1</v>
      </c>
      <c r="G551" s="5">
        <v>0</v>
      </c>
      <c r="H551" s="1">
        <v>2.0099999999999998</v>
      </c>
      <c r="I551" s="1">
        <v>2.97</v>
      </c>
      <c r="J551" s="1">
        <v>3.57</v>
      </c>
      <c r="K551" s="6">
        <f>+H551-J551</f>
        <v>-1.56</v>
      </c>
      <c r="L551" s="7" t="str">
        <f>IF(F551-G551&gt;0,"Win","Loss")</f>
        <v>Win</v>
      </c>
      <c r="M551" s="14">
        <f t="shared" si="16"/>
        <v>50.499999999999986</v>
      </c>
      <c r="N551" s="14">
        <f t="shared" si="17"/>
        <v>50</v>
      </c>
    </row>
    <row r="552" spans="1:14" ht="12.75" x14ac:dyDescent="0.2">
      <c r="A552" s="1" t="s">
        <v>1004</v>
      </c>
      <c r="B552" s="3" t="s">
        <v>1005</v>
      </c>
      <c r="C552" s="4">
        <v>43443</v>
      </c>
      <c r="D552" s="2">
        <v>0.25</v>
      </c>
      <c r="E552" s="1" t="s">
        <v>296</v>
      </c>
      <c r="F552" s="5">
        <v>2</v>
      </c>
      <c r="G552" s="5">
        <v>0</v>
      </c>
      <c r="H552" s="1">
        <v>2.15</v>
      </c>
      <c r="I552" s="1">
        <v>3.46</v>
      </c>
      <c r="J552" s="1">
        <v>3.38</v>
      </c>
      <c r="K552" s="6">
        <f>+H552-J552</f>
        <v>-1.23</v>
      </c>
      <c r="L552" s="7" t="str">
        <f>IF(F552-G552&gt;0,"Win","Loss")</f>
        <v>Win</v>
      </c>
      <c r="M552" s="14">
        <f t="shared" si="16"/>
        <v>57.5</v>
      </c>
      <c r="N552" s="14">
        <f t="shared" si="17"/>
        <v>50</v>
      </c>
    </row>
    <row r="553" spans="1:14" ht="12.75" x14ac:dyDescent="0.2">
      <c r="A553" s="1" t="s">
        <v>1026</v>
      </c>
      <c r="B553" s="3" t="s">
        <v>1028</v>
      </c>
      <c r="C553" s="4">
        <v>43445</v>
      </c>
      <c r="D553" s="2">
        <v>0.79166666666666663</v>
      </c>
      <c r="E553" s="1" t="s">
        <v>891</v>
      </c>
      <c r="F553" s="5">
        <v>2</v>
      </c>
      <c r="G553" s="5">
        <v>0</v>
      </c>
      <c r="H553" s="1">
        <v>2.59</v>
      </c>
      <c r="I553" s="1">
        <v>3.28</v>
      </c>
      <c r="J553" s="1">
        <v>2.64</v>
      </c>
      <c r="K553" s="6">
        <f>+H553-J553</f>
        <v>-5.0000000000000266E-2</v>
      </c>
      <c r="L553" s="7" t="str">
        <f>IF(F553-G553&gt;0,"Win","Loss")</f>
        <v>Win</v>
      </c>
      <c r="M553" s="14">
        <f t="shared" si="16"/>
        <v>79.5</v>
      </c>
      <c r="N553" s="14">
        <f t="shared" si="17"/>
        <v>50</v>
      </c>
    </row>
    <row r="554" spans="1:14" ht="12.75" x14ac:dyDescent="0.2">
      <c r="A554" s="1" t="s">
        <v>996</v>
      </c>
      <c r="B554" s="3" t="s">
        <v>997</v>
      </c>
      <c r="C554" s="4">
        <v>43448</v>
      </c>
      <c r="D554" s="2">
        <v>0.70833333333333337</v>
      </c>
      <c r="E554" s="1" t="s">
        <v>107</v>
      </c>
      <c r="F554" s="5">
        <v>0</v>
      </c>
      <c r="G554" s="5">
        <v>0</v>
      </c>
      <c r="H554" s="1">
        <v>2.04</v>
      </c>
      <c r="I554" s="1">
        <v>2.7</v>
      </c>
      <c r="J554" s="1">
        <v>3.89</v>
      </c>
      <c r="K554" s="6">
        <f>+H554-J554</f>
        <v>-1.85</v>
      </c>
      <c r="L554" s="7" t="str">
        <f>IF(F554-G554&gt;0,"Win","Loss")</f>
        <v>Loss</v>
      </c>
      <c r="M554" s="14">
        <f t="shared" si="16"/>
        <v>-50</v>
      </c>
      <c r="N554" s="14">
        <f t="shared" si="17"/>
        <v>50</v>
      </c>
    </row>
    <row r="555" spans="1:14" ht="12.75" x14ac:dyDescent="0.2">
      <c r="A555" s="1" t="s">
        <v>1004</v>
      </c>
      <c r="B555" s="3" t="s">
        <v>1005</v>
      </c>
      <c r="C555" s="4">
        <v>43448</v>
      </c>
      <c r="D555" s="2">
        <v>0.36805555555555558</v>
      </c>
      <c r="E555" s="1" t="s">
        <v>310</v>
      </c>
      <c r="F555" s="5">
        <v>2</v>
      </c>
      <c r="G555" s="5">
        <v>4</v>
      </c>
      <c r="H555" s="1">
        <v>3.46</v>
      </c>
      <c r="I555" s="1">
        <v>3.72</v>
      </c>
      <c r="J555" s="1">
        <v>2</v>
      </c>
      <c r="K555" s="6">
        <f>+H555-J555</f>
        <v>1.46</v>
      </c>
      <c r="L555" s="7" t="str">
        <f>IF(F555-G555&gt;0,"Win","Loss")</f>
        <v>Loss</v>
      </c>
      <c r="M555" s="14">
        <f t="shared" si="16"/>
        <v>-50</v>
      </c>
      <c r="N555" s="14">
        <f t="shared" si="17"/>
        <v>50</v>
      </c>
    </row>
    <row r="556" spans="1:14" ht="12.75" x14ac:dyDescent="0.2">
      <c r="A556" s="1" t="s">
        <v>1026</v>
      </c>
      <c r="B556" s="3" t="s">
        <v>1027</v>
      </c>
      <c r="C556" s="4">
        <v>43448</v>
      </c>
      <c r="D556" s="2">
        <v>0.82291666666666663</v>
      </c>
      <c r="E556" s="1" t="s">
        <v>875</v>
      </c>
      <c r="F556" s="5">
        <v>1</v>
      </c>
      <c r="G556" s="5">
        <v>2</v>
      </c>
      <c r="H556" s="1">
        <v>2.2400000000000002</v>
      </c>
      <c r="I556" s="1">
        <v>3.47</v>
      </c>
      <c r="J556" s="1">
        <v>3.27</v>
      </c>
      <c r="K556" s="6">
        <f>+H556-J556</f>
        <v>-1.0299999999999998</v>
      </c>
      <c r="L556" s="7" t="str">
        <f>IF(F556-G556&gt;0,"Win","Loss")</f>
        <v>Loss</v>
      </c>
      <c r="M556" s="14">
        <f t="shared" si="16"/>
        <v>-50</v>
      </c>
      <c r="N556" s="14">
        <f t="shared" si="17"/>
        <v>50</v>
      </c>
    </row>
    <row r="557" spans="1:14" ht="12.75" x14ac:dyDescent="0.2">
      <c r="A557" s="1" t="s">
        <v>996</v>
      </c>
      <c r="B557" s="3" t="s">
        <v>997</v>
      </c>
      <c r="C557" s="4">
        <v>43449</v>
      </c>
      <c r="D557" s="2">
        <v>0.66666666666666663</v>
      </c>
      <c r="E557" s="1" t="s">
        <v>105</v>
      </c>
      <c r="F557" s="5">
        <v>1</v>
      </c>
      <c r="G557" s="5">
        <v>0</v>
      </c>
      <c r="H557" s="1">
        <v>1.5</v>
      </c>
      <c r="I557" s="1">
        <v>3.34</v>
      </c>
      <c r="J557" s="1">
        <v>7.1</v>
      </c>
      <c r="K557" s="6">
        <f>+H557-J557</f>
        <v>-5.6</v>
      </c>
      <c r="L557" s="7" t="str">
        <f>IF(F557-G557&gt;0,"Win","Loss")</f>
        <v>Win</v>
      </c>
      <c r="M557" s="14">
        <f t="shared" si="16"/>
        <v>25</v>
      </c>
      <c r="N557" s="14">
        <f t="shared" si="17"/>
        <v>50</v>
      </c>
    </row>
    <row r="558" spans="1:14" ht="12.75" x14ac:dyDescent="0.2">
      <c r="A558" s="1" t="s">
        <v>996</v>
      </c>
      <c r="B558" s="3" t="s">
        <v>997</v>
      </c>
      <c r="C558" s="4">
        <v>43449</v>
      </c>
      <c r="D558" s="2">
        <v>0.54166666666666663</v>
      </c>
      <c r="E558" s="1" t="s">
        <v>106</v>
      </c>
      <c r="F558" s="5">
        <v>2</v>
      </c>
      <c r="G558" s="5">
        <v>1</v>
      </c>
      <c r="H558" s="1">
        <v>2.04</v>
      </c>
      <c r="I558" s="1">
        <v>2.82</v>
      </c>
      <c r="J558" s="1">
        <v>3.86</v>
      </c>
      <c r="K558" s="6">
        <f>+H558-J558</f>
        <v>-1.8199999999999998</v>
      </c>
      <c r="L558" s="7" t="str">
        <f>IF(F558-G558&gt;0,"Win","Loss")</f>
        <v>Win</v>
      </c>
      <c r="M558" s="14">
        <f t="shared" si="16"/>
        <v>52</v>
      </c>
      <c r="N558" s="14">
        <f t="shared" si="17"/>
        <v>50</v>
      </c>
    </row>
    <row r="559" spans="1:14" ht="12.75" x14ac:dyDescent="0.2">
      <c r="A559" s="1" t="s">
        <v>1004</v>
      </c>
      <c r="B559" s="3" t="s">
        <v>1005</v>
      </c>
      <c r="C559" s="4">
        <v>43449</v>
      </c>
      <c r="D559" s="2">
        <v>0.36805555555555558</v>
      </c>
      <c r="E559" s="1" t="s">
        <v>308</v>
      </c>
      <c r="F559" s="5">
        <v>1</v>
      </c>
      <c r="G559" s="5">
        <v>3</v>
      </c>
      <c r="H559" s="1">
        <v>3.14</v>
      </c>
      <c r="I559" s="1">
        <v>3.42</v>
      </c>
      <c r="J559" s="1">
        <v>2.25</v>
      </c>
      <c r="K559" s="6">
        <f>+H559-J559</f>
        <v>0.89000000000000012</v>
      </c>
      <c r="L559" s="7" t="str">
        <f>IF(F559-G559&gt;0,"Win","Loss")</f>
        <v>Loss</v>
      </c>
      <c r="M559" s="14">
        <f t="shared" si="16"/>
        <v>-50</v>
      </c>
      <c r="N559" s="14">
        <f t="shared" si="17"/>
        <v>50</v>
      </c>
    </row>
    <row r="560" spans="1:14" ht="12.75" x14ac:dyDescent="0.2">
      <c r="A560" s="1" t="s">
        <v>1004</v>
      </c>
      <c r="B560" s="3" t="s">
        <v>1005</v>
      </c>
      <c r="C560" s="4">
        <v>43449</v>
      </c>
      <c r="D560" s="2">
        <v>0.27430555555555552</v>
      </c>
      <c r="E560" s="1" t="s">
        <v>309</v>
      </c>
      <c r="F560" s="5">
        <v>2</v>
      </c>
      <c r="G560" s="5">
        <v>0</v>
      </c>
      <c r="H560" s="1">
        <v>1.67</v>
      </c>
      <c r="I560" s="1">
        <v>4.03</v>
      </c>
      <c r="J560" s="1">
        <v>4.7300000000000004</v>
      </c>
      <c r="K560" s="6">
        <f>+H560-J560</f>
        <v>-3.0600000000000005</v>
      </c>
      <c r="L560" s="7" t="str">
        <f>IF(F560-G560&gt;0,"Win","Loss")</f>
        <v>Win</v>
      </c>
      <c r="M560" s="14">
        <f t="shared" si="16"/>
        <v>33.5</v>
      </c>
      <c r="N560" s="14">
        <f t="shared" si="17"/>
        <v>50</v>
      </c>
    </row>
    <row r="561" spans="1:14" ht="12.75" x14ac:dyDescent="0.2">
      <c r="A561" s="1" t="s">
        <v>1026</v>
      </c>
      <c r="B561" s="3" t="s">
        <v>1027</v>
      </c>
      <c r="C561" s="4">
        <v>43449</v>
      </c>
      <c r="D561" s="2">
        <v>0.72916666666666663</v>
      </c>
      <c r="E561" s="1" t="s">
        <v>865</v>
      </c>
      <c r="F561" s="5">
        <v>2</v>
      </c>
      <c r="G561" s="5">
        <v>2</v>
      </c>
      <c r="H561" s="1">
        <v>2.75</v>
      </c>
      <c r="I561" s="1">
        <v>3.26</v>
      </c>
      <c r="J561" s="1">
        <v>2.72</v>
      </c>
      <c r="K561" s="6">
        <f>+H561-J561</f>
        <v>2.9999999999999805E-2</v>
      </c>
      <c r="L561" s="7" t="str">
        <f>IF(F561-G561&gt;0,"Win","Loss")</f>
        <v>Loss</v>
      </c>
      <c r="M561" s="14">
        <f t="shared" si="16"/>
        <v>-50</v>
      </c>
      <c r="N561" s="14">
        <f t="shared" si="17"/>
        <v>50</v>
      </c>
    </row>
    <row r="562" spans="1:14" ht="12.75" x14ac:dyDescent="0.2">
      <c r="A562" s="1" t="s">
        <v>1026</v>
      </c>
      <c r="B562" s="3" t="s">
        <v>1027</v>
      </c>
      <c r="C562" s="4">
        <v>43449</v>
      </c>
      <c r="D562" s="2">
        <v>0.625</v>
      </c>
      <c r="E562" s="1" t="s">
        <v>866</v>
      </c>
      <c r="F562" s="5">
        <v>2</v>
      </c>
      <c r="G562" s="5">
        <v>2</v>
      </c>
      <c r="H562" s="1">
        <v>2.19</v>
      </c>
      <c r="I562" s="1">
        <v>3.4</v>
      </c>
      <c r="J562" s="1">
        <v>3.48</v>
      </c>
      <c r="K562" s="6">
        <f>+H562-J562</f>
        <v>-1.29</v>
      </c>
      <c r="L562" s="7" t="str">
        <f>IF(F562-G562&gt;0,"Win","Loss")</f>
        <v>Loss</v>
      </c>
      <c r="M562" s="14">
        <f t="shared" si="16"/>
        <v>-50</v>
      </c>
      <c r="N562" s="14">
        <f t="shared" si="17"/>
        <v>50</v>
      </c>
    </row>
    <row r="563" spans="1:14" ht="12.75" x14ac:dyDescent="0.2">
      <c r="A563" s="1" t="s">
        <v>1026</v>
      </c>
      <c r="B563" s="3" t="s">
        <v>1027</v>
      </c>
      <c r="C563" s="4">
        <v>43449</v>
      </c>
      <c r="D563" s="2">
        <v>0.625</v>
      </c>
      <c r="E563" s="1" t="s">
        <v>867</v>
      </c>
      <c r="F563" s="5">
        <v>2</v>
      </c>
      <c r="G563" s="5">
        <v>2</v>
      </c>
      <c r="H563" s="1">
        <v>2.42</v>
      </c>
      <c r="I563" s="1">
        <v>3.21</v>
      </c>
      <c r="J563" s="1">
        <v>3.15</v>
      </c>
      <c r="K563" s="6">
        <f>+H563-J563</f>
        <v>-0.73</v>
      </c>
      <c r="L563" s="7" t="str">
        <f>IF(F563-G563&gt;0,"Win","Loss")</f>
        <v>Loss</v>
      </c>
      <c r="M563" s="14">
        <f t="shared" si="16"/>
        <v>-50</v>
      </c>
      <c r="N563" s="14">
        <f t="shared" si="17"/>
        <v>50</v>
      </c>
    </row>
    <row r="564" spans="1:14" ht="12.75" x14ac:dyDescent="0.2">
      <c r="A564" s="1" t="s">
        <v>1026</v>
      </c>
      <c r="B564" s="3" t="s">
        <v>1027</v>
      </c>
      <c r="C564" s="4">
        <v>43449</v>
      </c>
      <c r="D564" s="2">
        <v>0.625</v>
      </c>
      <c r="E564" s="1" t="s">
        <v>868</v>
      </c>
      <c r="F564" s="5">
        <v>0</v>
      </c>
      <c r="G564" s="5">
        <v>1</v>
      </c>
      <c r="H564" s="1">
        <v>5.93</v>
      </c>
      <c r="I564" s="1">
        <v>3.76</v>
      </c>
      <c r="J564" s="1">
        <v>1.65</v>
      </c>
      <c r="K564" s="6">
        <f>+H564-J564</f>
        <v>4.2799999999999994</v>
      </c>
      <c r="L564" s="7" t="str">
        <f>IF(F564-G564&gt;0,"Win","Loss")</f>
        <v>Loss</v>
      </c>
      <c r="M564" s="14">
        <f t="shared" si="16"/>
        <v>-50</v>
      </c>
      <c r="N564" s="14">
        <f t="shared" si="17"/>
        <v>50</v>
      </c>
    </row>
    <row r="565" spans="1:14" ht="12.75" x14ac:dyDescent="0.2">
      <c r="A565" s="1" t="s">
        <v>1026</v>
      </c>
      <c r="B565" s="3" t="s">
        <v>1027</v>
      </c>
      <c r="C565" s="4">
        <v>43449</v>
      </c>
      <c r="D565" s="2">
        <v>0.625</v>
      </c>
      <c r="E565" s="1" t="s">
        <v>869</v>
      </c>
      <c r="F565" s="5">
        <v>2</v>
      </c>
      <c r="G565" s="5">
        <v>0</v>
      </c>
      <c r="H565" s="1">
        <v>2.79</v>
      </c>
      <c r="I565" s="1">
        <v>3.48</v>
      </c>
      <c r="J565" s="1">
        <v>2.5499999999999998</v>
      </c>
      <c r="K565" s="6">
        <f>+H565-J565</f>
        <v>0.24000000000000021</v>
      </c>
      <c r="L565" s="7" t="str">
        <f>IF(F565-G565&gt;0,"Win","Loss")</f>
        <v>Win</v>
      </c>
      <c r="M565" s="14">
        <f t="shared" si="16"/>
        <v>89.5</v>
      </c>
      <c r="N565" s="14">
        <f t="shared" si="17"/>
        <v>50</v>
      </c>
    </row>
    <row r="566" spans="1:14" ht="12.75" x14ac:dyDescent="0.2">
      <c r="A566" s="1" t="s">
        <v>1026</v>
      </c>
      <c r="B566" s="3" t="s">
        <v>1027</v>
      </c>
      <c r="C566" s="4">
        <v>43449</v>
      </c>
      <c r="D566" s="2">
        <v>0.625</v>
      </c>
      <c r="E566" s="1" t="s">
        <v>870</v>
      </c>
      <c r="F566" s="5">
        <v>1</v>
      </c>
      <c r="G566" s="5">
        <v>0</v>
      </c>
      <c r="H566" s="1">
        <v>3.1</v>
      </c>
      <c r="I566" s="1">
        <v>3.13</v>
      </c>
      <c r="J566" s="1">
        <v>2.5299999999999998</v>
      </c>
      <c r="K566" s="6">
        <f>+H566-J566</f>
        <v>0.57000000000000028</v>
      </c>
      <c r="L566" s="7" t="str">
        <f>IF(F566-G566&gt;0,"Win","Loss")</f>
        <v>Win</v>
      </c>
      <c r="M566" s="14">
        <f t="shared" si="16"/>
        <v>105</v>
      </c>
      <c r="N566" s="14">
        <f t="shared" si="17"/>
        <v>50</v>
      </c>
    </row>
    <row r="567" spans="1:14" ht="12.75" x14ac:dyDescent="0.2">
      <c r="A567" s="1" t="s">
        <v>1026</v>
      </c>
      <c r="B567" s="3" t="s">
        <v>1027</v>
      </c>
      <c r="C567" s="4">
        <v>43449</v>
      </c>
      <c r="D567" s="2">
        <v>0.625</v>
      </c>
      <c r="E567" s="1" t="s">
        <v>871</v>
      </c>
      <c r="F567" s="5">
        <v>3</v>
      </c>
      <c r="G567" s="5">
        <v>2</v>
      </c>
      <c r="H567" s="1">
        <v>2.2400000000000002</v>
      </c>
      <c r="I567" s="1">
        <v>3.28</v>
      </c>
      <c r="J567" s="1">
        <v>3.49</v>
      </c>
      <c r="K567" s="6">
        <f>+H567-J567</f>
        <v>-1.25</v>
      </c>
      <c r="L567" s="7" t="str">
        <f>IF(F567-G567&gt;0,"Win","Loss")</f>
        <v>Win</v>
      </c>
      <c r="M567" s="14">
        <f t="shared" si="16"/>
        <v>62.000000000000014</v>
      </c>
      <c r="N567" s="14">
        <f t="shared" si="17"/>
        <v>50</v>
      </c>
    </row>
    <row r="568" spans="1:14" ht="12.75" x14ac:dyDescent="0.2">
      <c r="A568" s="1" t="s">
        <v>1026</v>
      </c>
      <c r="B568" s="3" t="s">
        <v>1027</v>
      </c>
      <c r="C568" s="4">
        <v>43449</v>
      </c>
      <c r="D568" s="2">
        <v>0.625</v>
      </c>
      <c r="E568" s="1" t="s">
        <v>872</v>
      </c>
      <c r="F568" s="5">
        <v>2</v>
      </c>
      <c r="G568" s="5">
        <v>1</v>
      </c>
      <c r="H568" s="1">
        <v>3.11</v>
      </c>
      <c r="I568" s="1">
        <v>3.16</v>
      </c>
      <c r="J568" s="1">
        <v>2.5099999999999998</v>
      </c>
      <c r="K568" s="6">
        <f>+H568-J568</f>
        <v>0.60000000000000009</v>
      </c>
      <c r="L568" s="7" t="str">
        <f>IF(F568-G568&gt;0,"Win","Loss")</f>
        <v>Win</v>
      </c>
      <c r="M568" s="14">
        <f t="shared" si="16"/>
        <v>105.5</v>
      </c>
      <c r="N568" s="14">
        <f t="shared" si="17"/>
        <v>50</v>
      </c>
    </row>
    <row r="569" spans="1:14" ht="12.75" x14ac:dyDescent="0.2">
      <c r="A569" s="1" t="s">
        <v>1026</v>
      </c>
      <c r="B569" s="3" t="s">
        <v>1027</v>
      </c>
      <c r="C569" s="4">
        <v>43449</v>
      </c>
      <c r="D569" s="2">
        <v>0.625</v>
      </c>
      <c r="E569" s="1" t="s">
        <v>873</v>
      </c>
      <c r="F569" s="5">
        <v>1</v>
      </c>
      <c r="G569" s="5">
        <v>1</v>
      </c>
      <c r="H569" s="1">
        <v>2</v>
      </c>
      <c r="I569" s="1">
        <v>3.65</v>
      </c>
      <c r="J569" s="1">
        <v>3.78</v>
      </c>
      <c r="K569" s="6">
        <f>+H569-J569</f>
        <v>-1.7799999999999998</v>
      </c>
      <c r="L569" s="7" t="str">
        <f>IF(F569-G569&gt;0,"Win","Loss")</f>
        <v>Loss</v>
      </c>
      <c r="M569" s="14">
        <f t="shared" si="16"/>
        <v>-50</v>
      </c>
      <c r="N569" s="14">
        <f t="shared" si="17"/>
        <v>50</v>
      </c>
    </row>
    <row r="570" spans="1:14" ht="12.75" x14ac:dyDescent="0.2">
      <c r="A570" s="1" t="s">
        <v>1026</v>
      </c>
      <c r="B570" s="3" t="s">
        <v>1027</v>
      </c>
      <c r="C570" s="4">
        <v>43449</v>
      </c>
      <c r="D570" s="2">
        <v>0.625</v>
      </c>
      <c r="E570" s="1" t="s">
        <v>874</v>
      </c>
      <c r="F570" s="5">
        <v>2</v>
      </c>
      <c r="G570" s="5">
        <v>1</v>
      </c>
      <c r="H570" s="1">
        <v>1.67</v>
      </c>
      <c r="I570" s="1">
        <v>3.93</v>
      </c>
      <c r="J570" s="1">
        <v>5.38</v>
      </c>
      <c r="K570" s="6">
        <f>+H570-J570</f>
        <v>-3.71</v>
      </c>
      <c r="L570" s="7" t="str">
        <f>IF(F570-G570&gt;0,"Win","Loss")</f>
        <v>Win</v>
      </c>
      <c r="M570" s="14">
        <f t="shared" si="16"/>
        <v>33.5</v>
      </c>
      <c r="N570" s="14">
        <f t="shared" si="17"/>
        <v>50</v>
      </c>
    </row>
    <row r="571" spans="1:14" ht="12.75" x14ac:dyDescent="0.2">
      <c r="A571" s="1" t="s">
        <v>996</v>
      </c>
      <c r="B571" s="3" t="s">
        <v>997</v>
      </c>
      <c r="C571" s="4">
        <v>43450</v>
      </c>
      <c r="D571" s="2">
        <v>0.66666666666666663</v>
      </c>
      <c r="E571" s="1" t="s">
        <v>103</v>
      </c>
      <c r="F571" s="5">
        <v>2</v>
      </c>
      <c r="G571" s="5">
        <v>3</v>
      </c>
      <c r="H571" s="1">
        <v>1.44</v>
      </c>
      <c r="I571" s="1">
        <v>3.5</v>
      </c>
      <c r="J571" s="1">
        <v>6.87</v>
      </c>
      <c r="K571" s="6">
        <f>+H571-J571</f>
        <v>-5.43</v>
      </c>
      <c r="L571" s="7" t="str">
        <f>IF(F571-G571&gt;0,"Win","Loss")</f>
        <v>Loss</v>
      </c>
      <c r="M571" s="14">
        <f t="shared" si="16"/>
        <v>-50</v>
      </c>
      <c r="N571" s="14">
        <f t="shared" si="17"/>
        <v>50</v>
      </c>
    </row>
    <row r="572" spans="1:14" ht="12.75" x14ac:dyDescent="0.2">
      <c r="A572" s="1" t="s">
        <v>996</v>
      </c>
      <c r="B572" s="3" t="s">
        <v>997</v>
      </c>
      <c r="C572" s="4">
        <v>43450</v>
      </c>
      <c r="D572" s="2">
        <v>0.54166666666666663</v>
      </c>
      <c r="E572" s="1" t="s">
        <v>104</v>
      </c>
      <c r="F572" s="5">
        <v>0</v>
      </c>
      <c r="G572" s="5">
        <v>4</v>
      </c>
      <c r="H572" s="1">
        <v>5.85</v>
      </c>
      <c r="I572" s="1">
        <v>3.4</v>
      </c>
      <c r="J572" s="1">
        <v>1.54</v>
      </c>
      <c r="K572" s="6">
        <f>+H572-J572</f>
        <v>4.3099999999999996</v>
      </c>
      <c r="L572" s="7" t="str">
        <f>IF(F572-G572&gt;0,"Win","Loss")</f>
        <v>Loss</v>
      </c>
      <c r="M572" s="14">
        <f t="shared" si="16"/>
        <v>-50</v>
      </c>
      <c r="N572" s="14">
        <f t="shared" si="17"/>
        <v>50</v>
      </c>
    </row>
    <row r="573" spans="1:14" ht="12.75" x14ac:dyDescent="0.2">
      <c r="A573" s="1" t="s">
        <v>998</v>
      </c>
      <c r="B573" s="3" t="s">
        <v>999</v>
      </c>
      <c r="C573" s="4">
        <v>43450</v>
      </c>
      <c r="D573" s="2">
        <v>0.70833333333333337</v>
      </c>
      <c r="E573" s="1" t="s">
        <v>134</v>
      </c>
      <c r="F573" s="5">
        <v>0</v>
      </c>
      <c r="G573" s="5">
        <v>3</v>
      </c>
      <c r="H573" s="1">
        <v>1.95</v>
      </c>
      <c r="I573" s="1">
        <v>3.72</v>
      </c>
      <c r="J573" s="1">
        <v>2.97</v>
      </c>
      <c r="K573" s="6">
        <f>+H573-J573</f>
        <v>-1.0200000000000002</v>
      </c>
      <c r="L573" s="7" t="str">
        <f>IF(F573-G573&gt;0,"Win","Loss")</f>
        <v>Loss</v>
      </c>
      <c r="M573" s="14">
        <f t="shared" si="16"/>
        <v>-50</v>
      </c>
      <c r="N573" s="14">
        <f t="shared" si="17"/>
        <v>50</v>
      </c>
    </row>
    <row r="574" spans="1:14" ht="12.75" x14ac:dyDescent="0.2">
      <c r="A574" s="1" t="s">
        <v>998</v>
      </c>
      <c r="B574" s="3" t="s">
        <v>999</v>
      </c>
      <c r="C574" s="4">
        <v>43450</v>
      </c>
      <c r="D574" s="2">
        <v>0.625</v>
      </c>
      <c r="E574" s="1" t="s">
        <v>135</v>
      </c>
      <c r="F574" s="5">
        <v>0</v>
      </c>
      <c r="G574" s="5">
        <v>2</v>
      </c>
      <c r="H574" s="1">
        <v>4.45</v>
      </c>
      <c r="I574" s="1">
        <v>4.01</v>
      </c>
      <c r="J574" s="1">
        <v>1.58</v>
      </c>
      <c r="K574" s="6">
        <f>+H574-J574</f>
        <v>2.87</v>
      </c>
      <c r="L574" s="7" t="str">
        <f>IF(F574-G574&gt;0,"Win","Loss")</f>
        <v>Loss</v>
      </c>
      <c r="M574" s="14">
        <f t="shared" si="16"/>
        <v>-50</v>
      </c>
      <c r="N574" s="14">
        <f t="shared" si="17"/>
        <v>50</v>
      </c>
    </row>
    <row r="575" spans="1:14" ht="12.75" x14ac:dyDescent="0.2">
      <c r="A575" s="1" t="s">
        <v>998</v>
      </c>
      <c r="B575" s="3" t="s">
        <v>999</v>
      </c>
      <c r="C575" s="4">
        <v>43450</v>
      </c>
      <c r="D575" s="2">
        <v>0.45833333333333331</v>
      </c>
      <c r="E575" s="1" t="s">
        <v>136</v>
      </c>
      <c r="F575" s="5">
        <v>2</v>
      </c>
      <c r="G575" s="5">
        <v>0</v>
      </c>
      <c r="H575" s="1">
        <v>7.6</v>
      </c>
      <c r="I575" s="1">
        <v>6.5</v>
      </c>
      <c r="J575" s="1">
        <v>1.21</v>
      </c>
      <c r="K575" s="6">
        <f>+H575-J575</f>
        <v>6.39</v>
      </c>
      <c r="L575" s="7" t="str">
        <f>IF(F575-G575&gt;0,"Win","Loss")</f>
        <v>Win</v>
      </c>
      <c r="M575" s="14">
        <f t="shared" si="16"/>
        <v>330</v>
      </c>
      <c r="N575" s="14">
        <f t="shared" si="17"/>
        <v>50</v>
      </c>
    </row>
    <row r="576" spans="1:14" ht="12.75" x14ac:dyDescent="0.2">
      <c r="A576" s="1" t="s">
        <v>1004</v>
      </c>
      <c r="B576" s="3" t="s">
        <v>1005</v>
      </c>
      <c r="C576" s="4">
        <v>43450</v>
      </c>
      <c r="D576" s="2">
        <v>0.33333333333333331</v>
      </c>
      <c r="E576" s="1" t="s">
        <v>306</v>
      </c>
      <c r="F576" s="5">
        <v>0</v>
      </c>
      <c r="G576" s="5">
        <v>2</v>
      </c>
      <c r="H576" s="1">
        <v>2.12</v>
      </c>
      <c r="I576" s="1">
        <v>3.43</v>
      </c>
      <c r="J576" s="1">
        <v>3.45</v>
      </c>
      <c r="K576" s="6">
        <f>+H576-J576</f>
        <v>-1.33</v>
      </c>
      <c r="L576" s="7" t="str">
        <f>IF(F576-G576&gt;0,"Win","Loss")</f>
        <v>Loss</v>
      </c>
      <c r="M576" s="14">
        <f t="shared" si="16"/>
        <v>-50</v>
      </c>
      <c r="N576" s="14">
        <f t="shared" si="17"/>
        <v>50</v>
      </c>
    </row>
    <row r="577" spans="1:14" ht="12.75" x14ac:dyDescent="0.2">
      <c r="A577" s="1" t="s">
        <v>1004</v>
      </c>
      <c r="B577" s="3" t="s">
        <v>1005</v>
      </c>
      <c r="C577" s="4">
        <v>43450</v>
      </c>
      <c r="D577" s="2">
        <v>0.25</v>
      </c>
      <c r="E577" s="1" t="s">
        <v>307</v>
      </c>
      <c r="F577" s="5">
        <v>0</v>
      </c>
      <c r="G577" s="5">
        <v>2</v>
      </c>
      <c r="H577" s="1">
        <v>2.41</v>
      </c>
      <c r="I577" s="1">
        <v>3.35</v>
      </c>
      <c r="J577" s="1">
        <v>2.93</v>
      </c>
      <c r="K577" s="6">
        <f>+H577-J577</f>
        <v>-0.52</v>
      </c>
      <c r="L577" s="7" t="str">
        <f>IF(F577-G577&gt;0,"Win","Loss")</f>
        <v>Loss</v>
      </c>
      <c r="M577" s="14">
        <f t="shared" si="16"/>
        <v>-50</v>
      </c>
      <c r="N577" s="14">
        <f t="shared" si="17"/>
        <v>50</v>
      </c>
    </row>
    <row r="578" spans="1:14" ht="12.75" x14ac:dyDescent="0.2">
      <c r="A578" s="1" t="s">
        <v>1026</v>
      </c>
      <c r="B578" s="3" t="s">
        <v>1027</v>
      </c>
      <c r="C578" s="4">
        <v>43451</v>
      </c>
      <c r="D578" s="2">
        <v>0.82291666666666663</v>
      </c>
      <c r="E578" s="1" t="s">
        <v>864</v>
      </c>
      <c r="F578" s="5">
        <v>0</v>
      </c>
      <c r="G578" s="5">
        <v>0</v>
      </c>
      <c r="H578" s="1">
        <v>2.0299999999999998</v>
      </c>
      <c r="I578" s="1">
        <v>3.44</v>
      </c>
      <c r="J578" s="1">
        <v>3.87</v>
      </c>
      <c r="K578" s="6">
        <f>+H578-J578</f>
        <v>-1.8400000000000003</v>
      </c>
      <c r="L578" s="7" t="str">
        <f>IF(F578-G578&gt;0,"Win","Loss")</f>
        <v>Loss</v>
      </c>
      <c r="M578" s="14">
        <f t="shared" si="16"/>
        <v>-50</v>
      </c>
      <c r="N578" s="14">
        <f t="shared" si="17"/>
        <v>50</v>
      </c>
    </row>
    <row r="579" spans="1:14" ht="12.75" x14ac:dyDescent="0.2">
      <c r="A579" s="1" t="s">
        <v>1026</v>
      </c>
      <c r="B579" s="3" t="s">
        <v>1028</v>
      </c>
      <c r="C579" s="4">
        <v>43452</v>
      </c>
      <c r="D579" s="2">
        <v>0.82291666666666663</v>
      </c>
      <c r="E579" s="1" t="s">
        <v>890</v>
      </c>
      <c r="F579" s="5">
        <v>3</v>
      </c>
      <c r="G579" s="5">
        <v>0</v>
      </c>
      <c r="H579" s="1">
        <v>1.37</v>
      </c>
      <c r="I579" s="1">
        <v>5.03</v>
      </c>
      <c r="J579" s="1">
        <v>6.59</v>
      </c>
      <c r="K579" s="6">
        <f>+H579-J579</f>
        <v>-5.22</v>
      </c>
      <c r="L579" s="7" t="str">
        <f>IF(F579-G579&gt;0,"Win","Loss")</f>
        <v>Win</v>
      </c>
      <c r="M579" s="14">
        <f t="shared" si="16"/>
        <v>18.5</v>
      </c>
      <c r="N579" s="14">
        <f t="shared" si="17"/>
        <v>50</v>
      </c>
    </row>
    <row r="580" spans="1:14" ht="12.75" x14ac:dyDescent="0.2">
      <c r="A580" s="1" t="s">
        <v>996</v>
      </c>
      <c r="B580" s="3" t="s">
        <v>997</v>
      </c>
      <c r="C580" s="4">
        <v>43455</v>
      </c>
      <c r="D580" s="2">
        <v>0.64583333333333337</v>
      </c>
      <c r="E580" s="1" t="s">
        <v>101</v>
      </c>
      <c r="F580" s="5">
        <v>1</v>
      </c>
      <c r="G580" s="5">
        <v>0</v>
      </c>
      <c r="H580" s="1">
        <v>2.66</v>
      </c>
      <c r="I580" s="1">
        <v>2.68</v>
      </c>
      <c r="J580" s="1">
        <v>2.82</v>
      </c>
      <c r="K580" s="6">
        <f>+H580-J580</f>
        <v>-0.1599999999999997</v>
      </c>
      <c r="L580" s="7" t="str">
        <f>IF(F580-G580&gt;0,"Win","Loss")</f>
        <v>Win</v>
      </c>
      <c r="M580" s="14">
        <f t="shared" si="16"/>
        <v>83</v>
      </c>
      <c r="N580" s="14">
        <f t="shared" si="17"/>
        <v>50</v>
      </c>
    </row>
    <row r="581" spans="1:14" ht="12.75" x14ac:dyDescent="0.2">
      <c r="A581" s="1" t="s">
        <v>996</v>
      </c>
      <c r="B581" s="3" t="s">
        <v>997</v>
      </c>
      <c r="C581" s="4">
        <v>43455</v>
      </c>
      <c r="D581" s="2">
        <v>0.52083333333333337</v>
      </c>
      <c r="E581" s="1" t="s">
        <v>102</v>
      </c>
      <c r="F581" s="5">
        <v>1</v>
      </c>
      <c r="G581" s="5">
        <v>0</v>
      </c>
      <c r="H581" s="1">
        <v>3.88</v>
      </c>
      <c r="I581" s="1">
        <v>2.84</v>
      </c>
      <c r="J581" s="1">
        <v>1.99</v>
      </c>
      <c r="K581" s="6">
        <f>+H581-J581</f>
        <v>1.89</v>
      </c>
      <c r="L581" s="7" t="str">
        <f>IF(F581-G581&gt;0,"Win","Loss")</f>
        <v>Win</v>
      </c>
      <c r="M581" s="14">
        <f t="shared" si="16"/>
        <v>144</v>
      </c>
      <c r="N581" s="14">
        <f t="shared" si="17"/>
        <v>50</v>
      </c>
    </row>
    <row r="582" spans="1:14" ht="12.75" x14ac:dyDescent="0.2">
      <c r="A582" s="1" t="s">
        <v>1004</v>
      </c>
      <c r="B582" s="3" t="s">
        <v>1005</v>
      </c>
      <c r="C582" s="4">
        <v>43455</v>
      </c>
      <c r="D582" s="2">
        <v>0.41666666666666669</v>
      </c>
      <c r="E582" s="1" t="s">
        <v>288</v>
      </c>
      <c r="F582" s="5">
        <v>1</v>
      </c>
      <c r="G582" s="5">
        <v>2</v>
      </c>
      <c r="H582" s="1">
        <v>2.71</v>
      </c>
      <c r="I582" s="1">
        <v>3.46</v>
      </c>
      <c r="J582" s="1">
        <v>2.52</v>
      </c>
      <c r="K582" s="6">
        <f>+H582-J582</f>
        <v>0.18999999999999995</v>
      </c>
      <c r="L582" s="7" t="str">
        <f>IF(F582-G582&gt;0,"Win","Loss")</f>
        <v>Loss</v>
      </c>
      <c r="M582" s="14">
        <f t="shared" si="16"/>
        <v>-50</v>
      </c>
      <c r="N582" s="14">
        <f t="shared" si="17"/>
        <v>50</v>
      </c>
    </row>
    <row r="583" spans="1:14" ht="12.75" x14ac:dyDescent="0.2">
      <c r="A583" s="1" t="s">
        <v>996</v>
      </c>
      <c r="B583" s="3" t="s">
        <v>997</v>
      </c>
      <c r="C583" s="4">
        <v>43456</v>
      </c>
      <c r="D583" s="2">
        <v>0.66666666666666663</v>
      </c>
      <c r="E583" s="1" t="s">
        <v>100</v>
      </c>
      <c r="F583" s="5">
        <v>1</v>
      </c>
      <c r="G583" s="5">
        <v>1</v>
      </c>
      <c r="H583" s="1">
        <v>1.85</v>
      </c>
      <c r="I583" s="1">
        <v>2.73</v>
      </c>
      <c r="J583" s="1">
        <v>4.99</v>
      </c>
      <c r="K583" s="6">
        <f>+H583-J583</f>
        <v>-3.14</v>
      </c>
      <c r="L583" s="7" t="str">
        <f>IF(F583-G583&gt;0,"Win","Loss")</f>
        <v>Loss</v>
      </c>
      <c r="M583" s="14">
        <f t="shared" si="16"/>
        <v>-50</v>
      </c>
      <c r="N583" s="14">
        <f t="shared" si="17"/>
        <v>50</v>
      </c>
    </row>
    <row r="584" spans="1:14" ht="12.75" x14ac:dyDescent="0.2">
      <c r="A584" s="1" t="s">
        <v>1004</v>
      </c>
      <c r="B584" s="3" t="s">
        <v>1005</v>
      </c>
      <c r="C584" s="4">
        <v>43456</v>
      </c>
      <c r="D584" s="2">
        <v>0.36805555555555558</v>
      </c>
      <c r="E584" s="1" t="s">
        <v>304</v>
      </c>
      <c r="F584" s="5">
        <v>1</v>
      </c>
      <c r="G584" s="5">
        <v>1</v>
      </c>
      <c r="H584" s="1">
        <v>2.95</v>
      </c>
      <c r="I584" s="1">
        <v>3.31</v>
      </c>
      <c r="J584" s="1">
        <v>2.42</v>
      </c>
      <c r="K584" s="6">
        <f>+H584-J584</f>
        <v>0.53000000000000025</v>
      </c>
      <c r="L584" s="7" t="str">
        <f>IF(F584-G584&gt;0,"Win","Loss")</f>
        <v>Loss</v>
      </c>
      <c r="M584" s="14">
        <f t="shared" si="16"/>
        <v>-50</v>
      </c>
      <c r="N584" s="14">
        <f t="shared" si="17"/>
        <v>50</v>
      </c>
    </row>
    <row r="585" spans="1:14" ht="12.75" x14ac:dyDescent="0.2">
      <c r="A585" s="1" t="s">
        <v>1004</v>
      </c>
      <c r="B585" s="3" t="s">
        <v>1005</v>
      </c>
      <c r="C585" s="4">
        <v>43456</v>
      </c>
      <c r="D585" s="2">
        <v>0.27430555555555552</v>
      </c>
      <c r="E585" s="1" t="s">
        <v>305</v>
      </c>
      <c r="F585" s="5">
        <v>4</v>
      </c>
      <c r="G585" s="5">
        <v>1</v>
      </c>
      <c r="H585" s="1">
        <v>2.2000000000000002</v>
      </c>
      <c r="I585" s="1">
        <v>3.56</v>
      </c>
      <c r="J585" s="1">
        <v>3.12</v>
      </c>
      <c r="K585" s="6">
        <f>+H585-J585</f>
        <v>-0.91999999999999993</v>
      </c>
      <c r="L585" s="7" t="str">
        <f>IF(F585-G585&gt;0,"Win","Loss")</f>
        <v>Win</v>
      </c>
      <c r="M585" s="14">
        <f t="shared" si="16"/>
        <v>60.000000000000014</v>
      </c>
      <c r="N585" s="14">
        <f t="shared" si="17"/>
        <v>50</v>
      </c>
    </row>
    <row r="586" spans="1:14" ht="12.75" x14ac:dyDescent="0.2">
      <c r="A586" s="1" t="s">
        <v>1026</v>
      </c>
      <c r="B586" s="3" t="s">
        <v>1027</v>
      </c>
      <c r="C586" s="4">
        <v>43456</v>
      </c>
      <c r="D586" s="2">
        <v>0.72916666666666663</v>
      </c>
      <c r="E586" s="1" t="s">
        <v>853</v>
      </c>
      <c r="F586" s="5">
        <v>3</v>
      </c>
      <c r="G586" s="5">
        <v>2</v>
      </c>
      <c r="H586" s="1">
        <v>2.82</v>
      </c>
      <c r="I586" s="1">
        <v>3.3</v>
      </c>
      <c r="J586" s="1">
        <v>2.64</v>
      </c>
      <c r="K586" s="6">
        <f>+H586-J586</f>
        <v>0.17999999999999972</v>
      </c>
      <c r="L586" s="7" t="str">
        <f>IF(F586-G586&gt;0,"Win","Loss")</f>
        <v>Win</v>
      </c>
      <c r="M586" s="14">
        <f t="shared" si="16"/>
        <v>91</v>
      </c>
      <c r="N586" s="14">
        <f t="shared" si="17"/>
        <v>50</v>
      </c>
    </row>
    <row r="587" spans="1:14" ht="12.75" x14ac:dyDescent="0.2">
      <c r="A587" s="1" t="s">
        <v>1026</v>
      </c>
      <c r="B587" s="3" t="s">
        <v>1027</v>
      </c>
      <c r="C587" s="4">
        <v>43456</v>
      </c>
      <c r="D587" s="2">
        <v>0.625</v>
      </c>
      <c r="E587" s="1" t="s">
        <v>854</v>
      </c>
      <c r="F587" s="5">
        <v>0</v>
      </c>
      <c r="G587" s="5">
        <v>1</v>
      </c>
      <c r="H587" s="1">
        <v>2.92</v>
      </c>
      <c r="I587" s="1">
        <v>3.35</v>
      </c>
      <c r="J587" s="1">
        <v>2.5099999999999998</v>
      </c>
      <c r="K587" s="6">
        <f>+H587-J587</f>
        <v>0.41000000000000014</v>
      </c>
      <c r="L587" s="7" t="str">
        <f>IF(F587-G587&gt;0,"Win","Loss")</f>
        <v>Loss</v>
      </c>
      <c r="M587" s="14">
        <f t="shared" si="16"/>
        <v>-50</v>
      </c>
      <c r="N587" s="14">
        <f t="shared" si="17"/>
        <v>50</v>
      </c>
    </row>
    <row r="588" spans="1:14" ht="12.75" x14ac:dyDescent="0.2">
      <c r="A588" s="1" t="s">
        <v>1026</v>
      </c>
      <c r="B588" s="3" t="s">
        <v>1027</v>
      </c>
      <c r="C588" s="4">
        <v>43456</v>
      </c>
      <c r="D588" s="2">
        <v>0.625</v>
      </c>
      <c r="E588" s="1" t="s">
        <v>855</v>
      </c>
      <c r="F588" s="5">
        <v>1</v>
      </c>
      <c r="G588" s="5">
        <v>0</v>
      </c>
      <c r="H588" s="1">
        <v>1.5</v>
      </c>
      <c r="I588" s="1">
        <v>4.34</v>
      </c>
      <c r="J588" s="1">
        <v>6.92</v>
      </c>
      <c r="K588" s="6">
        <f>+H588-J588</f>
        <v>-5.42</v>
      </c>
      <c r="L588" s="7" t="str">
        <f>IF(F588-G588&gt;0,"Win","Loss")</f>
        <v>Win</v>
      </c>
      <c r="M588" s="14">
        <f t="shared" si="16"/>
        <v>25</v>
      </c>
      <c r="N588" s="14">
        <f t="shared" si="17"/>
        <v>50</v>
      </c>
    </row>
    <row r="589" spans="1:14" ht="12.75" x14ac:dyDescent="0.2">
      <c r="A589" s="1" t="s">
        <v>1026</v>
      </c>
      <c r="B589" s="3" t="s">
        <v>1027</v>
      </c>
      <c r="C589" s="4">
        <v>43456</v>
      </c>
      <c r="D589" s="2">
        <v>0.625</v>
      </c>
      <c r="E589" s="1" t="s">
        <v>856</v>
      </c>
      <c r="F589" s="5">
        <v>1</v>
      </c>
      <c r="G589" s="5">
        <v>1</v>
      </c>
      <c r="H589" s="1">
        <v>2.06</v>
      </c>
      <c r="I589" s="1">
        <v>3.42</v>
      </c>
      <c r="J589" s="1">
        <v>3.83</v>
      </c>
      <c r="K589" s="6">
        <f>+H589-J589</f>
        <v>-1.77</v>
      </c>
      <c r="L589" s="7" t="str">
        <f>IF(F589-G589&gt;0,"Win","Loss")</f>
        <v>Loss</v>
      </c>
      <c r="M589" s="14">
        <f t="shared" si="16"/>
        <v>-50</v>
      </c>
      <c r="N589" s="14">
        <f t="shared" si="17"/>
        <v>50</v>
      </c>
    </row>
    <row r="590" spans="1:14" ht="12.75" x14ac:dyDescent="0.2">
      <c r="A590" s="1" t="s">
        <v>1026</v>
      </c>
      <c r="B590" s="3" t="s">
        <v>1027</v>
      </c>
      <c r="C590" s="4">
        <v>43456</v>
      </c>
      <c r="D590" s="2">
        <v>0.625</v>
      </c>
      <c r="E590" s="1" t="s">
        <v>857</v>
      </c>
      <c r="F590" s="5">
        <v>1</v>
      </c>
      <c r="G590" s="5">
        <v>1</v>
      </c>
      <c r="H590" s="1">
        <v>5.03</v>
      </c>
      <c r="I590" s="1">
        <v>3.42</v>
      </c>
      <c r="J590" s="1">
        <v>1.83</v>
      </c>
      <c r="K590" s="6">
        <f>+H590-J590</f>
        <v>3.2</v>
      </c>
      <c r="L590" s="7" t="str">
        <f>IF(F590-G590&gt;0,"Win","Loss")</f>
        <v>Loss</v>
      </c>
      <c r="M590" s="14">
        <f t="shared" ref="M590:M653" si="18">IF(L590="Win",(H590*N590)-N590,-N590)</f>
        <v>-50</v>
      </c>
      <c r="N590" s="14">
        <f t="shared" ref="N590:N653" si="19">+$M$1</f>
        <v>50</v>
      </c>
    </row>
    <row r="591" spans="1:14" ht="12.75" x14ac:dyDescent="0.2">
      <c r="A591" s="1" t="s">
        <v>1026</v>
      </c>
      <c r="B591" s="3" t="s">
        <v>1027</v>
      </c>
      <c r="C591" s="4">
        <v>43456</v>
      </c>
      <c r="D591" s="2">
        <v>0.625</v>
      </c>
      <c r="E591" s="1" t="s">
        <v>858</v>
      </c>
      <c r="F591" s="5">
        <v>0</v>
      </c>
      <c r="G591" s="5">
        <v>1</v>
      </c>
      <c r="H591" s="1">
        <v>1.97</v>
      </c>
      <c r="I591" s="1">
        <v>3.56</v>
      </c>
      <c r="J591" s="1">
        <v>4.01</v>
      </c>
      <c r="K591" s="6">
        <f>+H591-J591</f>
        <v>-2.04</v>
      </c>
      <c r="L591" s="7" t="str">
        <f>IF(F591-G591&gt;0,"Win","Loss")</f>
        <v>Loss</v>
      </c>
      <c r="M591" s="14">
        <f t="shared" si="18"/>
        <v>-50</v>
      </c>
      <c r="N591" s="14">
        <f t="shared" si="19"/>
        <v>50</v>
      </c>
    </row>
    <row r="592" spans="1:14" ht="12.75" x14ac:dyDescent="0.2">
      <c r="A592" s="1" t="s">
        <v>1026</v>
      </c>
      <c r="B592" s="3" t="s">
        <v>1027</v>
      </c>
      <c r="C592" s="4">
        <v>43456</v>
      </c>
      <c r="D592" s="2">
        <v>0.625</v>
      </c>
      <c r="E592" s="1" t="s">
        <v>859</v>
      </c>
      <c r="F592" s="5">
        <v>0</v>
      </c>
      <c r="G592" s="5">
        <v>1</v>
      </c>
      <c r="H592" s="1">
        <v>4.82</v>
      </c>
      <c r="I592" s="1">
        <v>3.45</v>
      </c>
      <c r="J592" s="1">
        <v>1.85</v>
      </c>
      <c r="K592" s="6">
        <f>+H592-J592</f>
        <v>2.97</v>
      </c>
      <c r="L592" s="7" t="str">
        <f>IF(F592-G592&gt;0,"Win","Loss")</f>
        <v>Loss</v>
      </c>
      <c r="M592" s="14">
        <f t="shared" si="18"/>
        <v>-50</v>
      </c>
      <c r="N592" s="14">
        <f t="shared" si="19"/>
        <v>50</v>
      </c>
    </row>
    <row r="593" spans="1:14" ht="12.75" x14ac:dyDescent="0.2">
      <c r="A593" s="1" t="s">
        <v>1026</v>
      </c>
      <c r="B593" s="3" t="s">
        <v>1027</v>
      </c>
      <c r="C593" s="4">
        <v>43456</v>
      </c>
      <c r="D593" s="2">
        <v>0.625</v>
      </c>
      <c r="E593" s="1" t="s">
        <v>860</v>
      </c>
      <c r="F593" s="5">
        <v>0</v>
      </c>
      <c r="G593" s="5">
        <v>4</v>
      </c>
      <c r="H593" s="1">
        <v>4.82</v>
      </c>
      <c r="I593" s="1">
        <v>3.82</v>
      </c>
      <c r="J593" s="1">
        <v>1.76</v>
      </c>
      <c r="K593" s="6">
        <f>+H593-J593</f>
        <v>3.0600000000000005</v>
      </c>
      <c r="L593" s="7" t="str">
        <f>IF(F593-G593&gt;0,"Win","Loss")</f>
        <v>Loss</v>
      </c>
      <c r="M593" s="14">
        <f t="shared" si="18"/>
        <v>-50</v>
      </c>
      <c r="N593" s="14">
        <f t="shared" si="19"/>
        <v>50</v>
      </c>
    </row>
    <row r="594" spans="1:14" ht="12.75" x14ac:dyDescent="0.2">
      <c r="A594" s="1" t="s">
        <v>1026</v>
      </c>
      <c r="B594" s="3" t="s">
        <v>1027</v>
      </c>
      <c r="C594" s="4">
        <v>43456</v>
      </c>
      <c r="D594" s="2">
        <v>0.625</v>
      </c>
      <c r="E594" s="1" t="s">
        <v>861</v>
      </c>
      <c r="F594" s="5">
        <v>1</v>
      </c>
      <c r="G594" s="5">
        <v>0</v>
      </c>
      <c r="H594" s="1">
        <v>2.97</v>
      </c>
      <c r="I594" s="1">
        <v>3.28</v>
      </c>
      <c r="J594" s="1">
        <v>2.52</v>
      </c>
      <c r="K594" s="6">
        <f>+H594-J594</f>
        <v>0.45000000000000018</v>
      </c>
      <c r="L594" s="7" t="str">
        <f>IF(F594-G594&gt;0,"Win","Loss")</f>
        <v>Win</v>
      </c>
      <c r="M594" s="14">
        <f t="shared" si="18"/>
        <v>98.5</v>
      </c>
      <c r="N594" s="14">
        <f t="shared" si="19"/>
        <v>50</v>
      </c>
    </row>
    <row r="595" spans="1:14" ht="12.75" x14ac:dyDescent="0.2">
      <c r="A595" s="1" t="s">
        <v>1026</v>
      </c>
      <c r="B595" s="3" t="s">
        <v>1027</v>
      </c>
      <c r="C595" s="4">
        <v>43456</v>
      </c>
      <c r="D595" s="2">
        <v>0.625</v>
      </c>
      <c r="E595" s="1" t="s">
        <v>862</v>
      </c>
      <c r="F595" s="5">
        <v>1</v>
      </c>
      <c r="G595" s="5">
        <v>0</v>
      </c>
      <c r="H595" s="1">
        <v>1.8</v>
      </c>
      <c r="I595" s="1">
        <v>3.62</v>
      </c>
      <c r="J595" s="1">
        <v>4.87</v>
      </c>
      <c r="K595" s="6">
        <f>+H595-J595</f>
        <v>-3.0700000000000003</v>
      </c>
      <c r="L595" s="7" t="str">
        <f>IF(F595-G595&gt;0,"Win","Loss")</f>
        <v>Win</v>
      </c>
      <c r="M595" s="14">
        <f t="shared" si="18"/>
        <v>40</v>
      </c>
      <c r="N595" s="14">
        <f t="shared" si="19"/>
        <v>50</v>
      </c>
    </row>
    <row r="596" spans="1:14" ht="12.75" x14ac:dyDescent="0.2">
      <c r="A596" s="1" t="s">
        <v>1026</v>
      </c>
      <c r="B596" s="3" t="s">
        <v>1027</v>
      </c>
      <c r="C596" s="4">
        <v>43456</v>
      </c>
      <c r="D596" s="2">
        <v>0.625</v>
      </c>
      <c r="E596" s="1" t="s">
        <v>863</v>
      </c>
      <c r="F596" s="5">
        <v>0</v>
      </c>
      <c r="G596" s="5">
        <v>3</v>
      </c>
      <c r="H596" s="1">
        <v>2.59</v>
      </c>
      <c r="I596" s="1">
        <v>3.2</v>
      </c>
      <c r="J596" s="1">
        <v>2.95</v>
      </c>
      <c r="K596" s="6">
        <f>+H596-J596</f>
        <v>-0.36000000000000032</v>
      </c>
      <c r="L596" s="7" t="str">
        <f>IF(F596-G596&gt;0,"Win","Loss")</f>
        <v>Loss</v>
      </c>
      <c r="M596" s="14">
        <f t="shared" si="18"/>
        <v>-50</v>
      </c>
      <c r="N596" s="14">
        <f t="shared" si="19"/>
        <v>50</v>
      </c>
    </row>
    <row r="597" spans="1:14" ht="12.75" x14ac:dyDescent="0.2">
      <c r="A597" s="1" t="s">
        <v>996</v>
      </c>
      <c r="B597" s="3" t="s">
        <v>997</v>
      </c>
      <c r="C597" s="4">
        <v>43457</v>
      </c>
      <c r="D597" s="2">
        <v>0.52083333333333337</v>
      </c>
      <c r="E597" s="1" t="s">
        <v>98</v>
      </c>
      <c r="F597" s="5">
        <v>2</v>
      </c>
      <c r="G597" s="5">
        <v>0</v>
      </c>
      <c r="H597" s="1">
        <v>1.1200000000000001</v>
      </c>
      <c r="I597" s="1">
        <v>6.85</v>
      </c>
      <c r="J597" s="1">
        <v>12.62</v>
      </c>
      <c r="K597" s="6">
        <f>+H597-J597</f>
        <v>-11.5</v>
      </c>
      <c r="L597" s="7" t="str">
        <f>IF(F597-G597&gt;0,"Win","Loss")</f>
        <v>Win</v>
      </c>
      <c r="M597" s="14">
        <f t="shared" si="18"/>
        <v>6.0000000000000071</v>
      </c>
      <c r="N597" s="14">
        <f t="shared" si="19"/>
        <v>50</v>
      </c>
    </row>
    <row r="598" spans="1:14" ht="12.75" x14ac:dyDescent="0.2">
      <c r="A598" s="1" t="s">
        <v>996</v>
      </c>
      <c r="B598" s="3" t="s">
        <v>997</v>
      </c>
      <c r="C598" s="4">
        <v>43457</v>
      </c>
      <c r="D598" s="2">
        <v>0.52083333333333337</v>
      </c>
      <c r="E598" s="1" t="s">
        <v>99</v>
      </c>
      <c r="F598" s="5">
        <v>1</v>
      </c>
      <c r="G598" s="5">
        <v>1</v>
      </c>
      <c r="H598" s="1">
        <v>6.53</v>
      </c>
      <c r="I598" s="1">
        <v>3.31</v>
      </c>
      <c r="J598" s="1">
        <v>1.52</v>
      </c>
      <c r="K598" s="6">
        <f>+H598-J598</f>
        <v>5.01</v>
      </c>
      <c r="L598" s="7" t="str">
        <f>IF(F598-G598&gt;0,"Win","Loss")</f>
        <v>Loss</v>
      </c>
      <c r="M598" s="14">
        <f t="shared" si="18"/>
        <v>-50</v>
      </c>
      <c r="N598" s="14">
        <f t="shared" si="19"/>
        <v>50</v>
      </c>
    </row>
    <row r="599" spans="1:14" ht="12.75" x14ac:dyDescent="0.2">
      <c r="A599" s="1" t="s">
        <v>1004</v>
      </c>
      <c r="B599" s="3" t="s">
        <v>1005</v>
      </c>
      <c r="C599" s="4">
        <v>43457</v>
      </c>
      <c r="D599" s="2">
        <v>0.25</v>
      </c>
      <c r="E599" s="1" t="s">
        <v>303</v>
      </c>
      <c r="F599" s="5">
        <v>1</v>
      </c>
      <c r="G599" s="5">
        <v>2</v>
      </c>
      <c r="H599" s="1">
        <v>4.3099999999999996</v>
      </c>
      <c r="I599" s="1">
        <v>4.16</v>
      </c>
      <c r="J599" s="1">
        <v>1.72</v>
      </c>
      <c r="K599" s="6">
        <f>+H599-J599</f>
        <v>2.59</v>
      </c>
      <c r="L599" s="7" t="str">
        <f>IF(F599-G599&gt;0,"Win","Loss")</f>
        <v>Loss</v>
      </c>
      <c r="M599" s="14">
        <f t="shared" si="18"/>
        <v>-50</v>
      </c>
      <c r="N599" s="14">
        <f t="shared" si="19"/>
        <v>50</v>
      </c>
    </row>
    <row r="600" spans="1:14" ht="12.75" x14ac:dyDescent="0.2">
      <c r="A600" s="1" t="s">
        <v>1026</v>
      </c>
      <c r="B600" s="3" t="s">
        <v>1027</v>
      </c>
      <c r="C600" s="4">
        <v>43457</v>
      </c>
      <c r="D600" s="2">
        <v>0.5625</v>
      </c>
      <c r="E600" s="1" t="s">
        <v>852</v>
      </c>
      <c r="F600" s="5">
        <v>2</v>
      </c>
      <c r="G600" s="5">
        <v>3</v>
      </c>
      <c r="H600" s="1">
        <v>2.63</v>
      </c>
      <c r="I600" s="1">
        <v>3.46</v>
      </c>
      <c r="J600" s="1">
        <v>2.71</v>
      </c>
      <c r="K600" s="6">
        <f>+H600-J600</f>
        <v>-8.0000000000000071E-2</v>
      </c>
      <c r="L600" s="7" t="str">
        <f>IF(F600-G600&gt;0,"Win","Loss")</f>
        <v>Loss</v>
      </c>
      <c r="M600" s="14">
        <f t="shared" si="18"/>
        <v>-50</v>
      </c>
      <c r="N600" s="14">
        <f t="shared" si="19"/>
        <v>50</v>
      </c>
    </row>
    <row r="601" spans="1:14" ht="12.75" x14ac:dyDescent="0.2">
      <c r="A601" s="1" t="s">
        <v>1004</v>
      </c>
      <c r="B601" s="3" t="s">
        <v>1005</v>
      </c>
      <c r="C601" s="4">
        <v>43460</v>
      </c>
      <c r="D601" s="2">
        <v>0.36805555555555558</v>
      </c>
      <c r="E601" s="1" t="s">
        <v>302</v>
      </c>
      <c r="F601" s="5">
        <v>2</v>
      </c>
      <c r="G601" s="5">
        <v>2</v>
      </c>
      <c r="H601" s="1">
        <v>1.88</v>
      </c>
      <c r="I601" s="1">
        <v>3.69</v>
      </c>
      <c r="J601" s="1">
        <v>3.95</v>
      </c>
      <c r="K601" s="6">
        <f>+H601-J601</f>
        <v>-2.0700000000000003</v>
      </c>
      <c r="L601" s="7" t="str">
        <f>IF(F601-G601&gt;0,"Win","Loss")</f>
        <v>Loss</v>
      </c>
      <c r="M601" s="14">
        <f t="shared" si="18"/>
        <v>-50</v>
      </c>
      <c r="N601" s="14">
        <f t="shared" si="19"/>
        <v>50</v>
      </c>
    </row>
    <row r="602" spans="1:14" ht="12.75" x14ac:dyDescent="0.2">
      <c r="A602" s="1" t="s">
        <v>1026</v>
      </c>
      <c r="B602" s="3" t="s">
        <v>1027</v>
      </c>
      <c r="C602" s="4">
        <v>43460</v>
      </c>
      <c r="D602" s="2">
        <v>0.625</v>
      </c>
      <c r="E602" s="1" t="s">
        <v>840</v>
      </c>
      <c r="F602" s="5">
        <v>2</v>
      </c>
      <c r="G602" s="5">
        <v>0</v>
      </c>
      <c r="H602" s="1">
        <v>2.84</v>
      </c>
      <c r="I602" s="1">
        <v>3.04</v>
      </c>
      <c r="J602" s="1">
        <v>2.81</v>
      </c>
      <c r="K602" s="6">
        <f>+H602-J602</f>
        <v>2.9999999999999805E-2</v>
      </c>
      <c r="L602" s="7" t="str">
        <f>IF(F602-G602&gt;0,"Win","Loss")</f>
        <v>Win</v>
      </c>
      <c r="M602" s="14">
        <f t="shared" si="18"/>
        <v>92</v>
      </c>
      <c r="N602" s="14">
        <f t="shared" si="19"/>
        <v>50</v>
      </c>
    </row>
    <row r="603" spans="1:14" ht="12.75" x14ac:dyDescent="0.2">
      <c r="A603" s="1" t="s">
        <v>1026</v>
      </c>
      <c r="B603" s="3" t="s">
        <v>1027</v>
      </c>
      <c r="C603" s="4">
        <v>43460</v>
      </c>
      <c r="D603" s="2">
        <v>0.625</v>
      </c>
      <c r="E603" s="1" t="s">
        <v>841</v>
      </c>
      <c r="F603" s="5">
        <v>2</v>
      </c>
      <c r="G603" s="5">
        <v>1</v>
      </c>
      <c r="H603" s="1">
        <v>2.44</v>
      </c>
      <c r="I603" s="1">
        <v>3.14</v>
      </c>
      <c r="J603" s="1">
        <v>3.25</v>
      </c>
      <c r="K603" s="6">
        <f>+H603-J603</f>
        <v>-0.81</v>
      </c>
      <c r="L603" s="7" t="str">
        <f>IF(F603-G603&gt;0,"Win","Loss")</f>
        <v>Win</v>
      </c>
      <c r="M603" s="14">
        <f t="shared" si="18"/>
        <v>72</v>
      </c>
      <c r="N603" s="14">
        <f t="shared" si="19"/>
        <v>50</v>
      </c>
    </row>
    <row r="604" spans="1:14" ht="12.75" x14ac:dyDescent="0.2">
      <c r="A604" s="1" t="s">
        <v>1026</v>
      </c>
      <c r="B604" s="3" t="s">
        <v>1027</v>
      </c>
      <c r="C604" s="4">
        <v>43460</v>
      </c>
      <c r="D604" s="2">
        <v>0.625</v>
      </c>
      <c r="E604" s="1" t="s">
        <v>842</v>
      </c>
      <c r="F604" s="5">
        <v>1</v>
      </c>
      <c r="G604" s="5">
        <v>1</v>
      </c>
      <c r="H604" s="1">
        <v>2.38</v>
      </c>
      <c r="I604" s="1">
        <v>3.46</v>
      </c>
      <c r="J604" s="1">
        <v>3.06</v>
      </c>
      <c r="K604" s="6">
        <f>+H604-J604</f>
        <v>-0.68000000000000016</v>
      </c>
      <c r="L604" s="7" t="str">
        <f>IF(F604-G604&gt;0,"Win","Loss")</f>
        <v>Loss</v>
      </c>
      <c r="M604" s="14">
        <f t="shared" si="18"/>
        <v>-50</v>
      </c>
      <c r="N604" s="14">
        <f t="shared" si="19"/>
        <v>50</v>
      </c>
    </row>
    <row r="605" spans="1:14" ht="12.75" x14ac:dyDescent="0.2">
      <c r="A605" s="1" t="s">
        <v>1026</v>
      </c>
      <c r="B605" s="3" t="s">
        <v>1027</v>
      </c>
      <c r="C605" s="4">
        <v>43460</v>
      </c>
      <c r="D605" s="2">
        <v>0.625</v>
      </c>
      <c r="E605" s="1" t="s">
        <v>843</v>
      </c>
      <c r="F605" s="5">
        <v>3</v>
      </c>
      <c r="G605" s="5">
        <v>2</v>
      </c>
      <c r="H605" s="1">
        <v>1.62</v>
      </c>
      <c r="I605" s="1">
        <v>3.86</v>
      </c>
      <c r="J605" s="1">
        <v>6.21</v>
      </c>
      <c r="K605" s="6">
        <f>+H605-J605</f>
        <v>-4.59</v>
      </c>
      <c r="L605" s="7" t="str">
        <f>IF(F605-G605&gt;0,"Win","Loss")</f>
        <v>Win</v>
      </c>
      <c r="M605" s="14">
        <f t="shared" si="18"/>
        <v>31</v>
      </c>
      <c r="N605" s="14">
        <f t="shared" si="19"/>
        <v>50</v>
      </c>
    </row>
    <row r="606" spans="1:14" ht="12.75" x14ac:dyDescent="0.2">
      <c r="A606" s="1" t="s">
        <v>1026</v>
      </c>
      <c r="B606" s="3" t="s">
        <v>1027</v>
      </c>
      <c r="C606" s="4">
        <v>43460</v>
      </c>
      <c r="D606" s="2">
        <v>0.625</v>
      </c>
      <c r="E606" s="1" t="s">
        <v>844</v>
      </c>
      <c r="F606" s="5">
        <v>0</v>
      </c>
      <c r="G606" s="5">
        <v>1</v>
      </c>
      <c r="H606" s="1">
        <v>1.68</v>
      </c>
      <c r="I606" s="1">
        <v>3.58</v>
      </c>
      <c r="J606" s="1">
        <v>6.21</v>
      </c>
      <c r="K606" s="6">
        <f>+H606-J606</f>
        <v>-4.53</v>
      </c>
      <c r="L606" s="7" t="str">
        <f>IF(F606-G606&gt;0,"Win","Loss")</f>
        <v>Loss</v>
      </c>
      <c r="M606" s="14">
        <f t="shared" si="18"/>
        <v>-50</v>
      </c>
      <c r="N606" s="14">
        <f t="shared" si="19"/>
        <v>50</v>
      </c>
    </row>
    <row r="607" spans="1:14" ht="12.75" x14ac:dyDescent="0.2">
      <c r="A607" s="1" t="s">
        <v>1026</v>
      </c>
      <c r="B607" s="3" t="s">
        <v>1027</v>
      </c>
      <c r="C607" s="4">
        <v>43460</v>
      </c>
      <c r="D607" s="2">
        <v>0.625</v>
      </c>
      <c r="E607" s="1" t="s">
        <v>845</v>
      </c>
      <c r="F607" s="5">
        <v>1</v>
      </c>
      <c r="G607" s="5">
        <v>0</v>
      </c>
      <c r="H607" s="1">
        <v>1.76</v>
      </c>
      <c r="I607" s="1">
        <v>3.94</v>
      </c>
      <c r="J607" s="1">
        <v>4.6500000000000004</v>
      </c>
      <c r="K607" s="6">
        <f>+H607-J607</f>
        <v>-2.8900000000000006</v>
      </c>
      <c r="L607" s="7" t="str">
        <f>IF(F607-G607&gt;0,"Win","Loss")</f>
        <v>Win</v>
      </c>
      <c r="M607" s="14">
        <f t="shared" si="18"/>
        <v>38</v>
      </c>
      <c r="N607" s="14">
        <f t="shared" si="19"/>
        <v>50</v>
      </c>
    </row>
    <row r="608" spans="1:14" ht="12.75" x14ac:dyDescent="0.2">
      <c r="A608" s="1" t="s">
        <v>1026</v>
      </c>
      <c r="B608" s="3" t="s">
        <v>1027</v>
      </c>
      <c r="C608" s="4">
        <v>43460</v>
      </c>
      <c r="D608" s="2">
        <v>0.625</v>
      </c>
      <c r="E608" s="1" t="s">
        <v>846</v>
      </c>
      <c r="F608" s="5">
        <v>3</v>
      </c>
      <c r="G608" s="5">
        <v>3</v>
      </c>
      <c r="H608" s="1">
        <v>2.0099999999999998</v>
      </c>
      <c r="I608" s="1">
        <v>3.4</v>
      </c>
      <c r="J608" s="1">
        <v>4.0599999999999996</v>
      </c>
      <c r="K608" s="6">
        <f>+H608-J608</f>
        <v>-2.0499999999999998</v>
      </c>
      <c r="L608" s="7" t="str">
        <f>IF(F608-G608&gt;0,"Win","Loss")</f>
        <v>Loss</v>
      </c>
      <c r="M608" s="14">
        <f t="shared" si="18"/>
        <v>-50</v>
      </c>
      <c r="N608" s="14">
        <f t="shared" si="19"/>
        <v>50</v>
      </c>
    </row>
    <row r="609" spans="1:14" ht="12.75" x14ac:dyDescent="0.2">
      <c r="A609" s="1" t="s">
        <v>1026</v>
      </c>
      <c r="B609" s="3" t="s">
        <v>1027</v>
      </c>
      <c r="C609" s="4">
        <v>43460</v>
      </c>
      <c r="D609" s="2">
        <v>0.625</v>
      </c>
      <c r="E609" s="1" t="s">
        <v>847</v>
      </c>
      <c r="F609" s="5">
        <v>1</v>
      </c>
      <c r="G609" s="5">
        <v>2</v>
      </c>
      <c r="H609" s="1">
        <v>2.21</v>
      </c>
      <c r="I609" s="1">
        <v>3.31</v>
      </c>
      <c r="J609" s="1">
        <v>3.53</v>
      </c>
      <c r="K609" s="6">
        <f>+H609-J609</f>
        <v>-1.3199999999999998</v>
      </c>
      <c r="L609" s="7" t="str">
        <f>IF(F609-G609&gt;0,"Win","Loss")</f>
        <v>Loss</v>
      </c>
      <c r="M609" s="14">
        <f t="shared" si="18"/>
        <v>-50</v>
      </c>
      <c r="N609" s="14">
        <f t="shared" si="19"/>
        <v>50</v>
      </c>
    </row>
    <row r="610" spans="1:14" ht="12.75" x14ac:dyDescent="0.2">
      <c r="A610" s="1" t="s">
        <v>1026</v>
      </c>
      <c r="B610" s="3" t="s">
        <v>1027</v>
      </c>
      <c r="C610" s="4">
        <v>43460</v>
      </c>
      <c r="D610" s="2">
        <v>0.625</v>
      </c>
      <c r="E610" s="1" t="s">
        <v>848</v>
      </c>
      <c r="F610" s="5">
        <v>3</v>
      </c>
      <c r="G610" s="5">
        <v>0</v>
      </c>
      <c r="H610" s="1">
        <v>1.68</v>
      </c>
      <c r="I610" s="1">
        <v>3.64</v>
      </c>
      <c r="J610" s="1">
        <v>5.91</v>
      </c>
      <c r="K610" s="6">
        <f>+H610-J610</f>
        <v>-4.2300000000000004</v>
      </c>
      <c r="L610" s="7" t="str">
        <f>IF(F610-G610&gt;0,"Win","Loss")</f>
        <v>Win</v>
      </c>
      <c r="M610" s="14">
        <f t="shared" si="18"/>
        <v>34</v>
      </c>
      <c r="N610" s="14">
        <f t="shared" si="19"/>
        <v>50</v>
      </c>
    </row>
    <row r="611" spans="1:14" ht="12.75" x14ac:dyDescent="0.2">
      <c r="A611" s="1" t="s">
        <v>1026</v>
      </c>
      <c r="B611" s="3" t="s">
        <v>1027</v>
      </c>
      <c r="C611" s="4">
        <v>43460</v>
      </c>
      <c r="D611" s="2">
        <v>0.625</v>
      </c>
      <c r="E611" s="1" t="s">
        <v>849</v>
      </c>
      <c r="F611" s="5">
        <v>3</v>
      </c>
      <c r="G611" s="5">
        <v>1</v>
      </c>
      <c r="H611" s="1">
        <v>2.15</v>
      </c>
      <c r="I611" s="1">
        <v>3.42</v>
      </c>
      <c r="J611" s="1">
        <v>3.59</v>
      </c>
      <c r="K611" s="6">
        <f>+H611-J611</f>
        <v>-1.44</v>
      </c>
      <c r="L611" s="7" t="str">
        <f>IF(F611-G611&gt;0,"Win","Loss")</f>
        <v>Win</v>
      </c>
      <c r="M611" s="14">
        <f t="shared" si="18"/>
        <v>57.5</v>
      </c>
      <c r="N611" s="14">
        <f t="shared" si="19"/>
        <v>50</v>
      </c>
    </row>
    <row r="612" spans="1:14" ht="12.75" x14ac:dyDescent="0.2">
      <c r="A612" s="1" t="s">
        <v>1026</v>
      </c>
      <c r="B612" s="3" t="s">
        <v>1027</v>
      </c>
      <c r="C612" s="4">
        <v>43460</v>
      </c>
      <c r="D612" s="2">
        <v>0.625</v>
      </c>
      <c r="E612" s="1" t="s">
        <v>850</v>
      </c>
      <c r="F612" s="5">
        <v>0</v>
      </c>
      <c r="G612" s="5">
        <v>1</v>
      </c>
      <c r="H612" s="1">
        <v>2.4700000000000002</v>
      </c>
      <c r="I612" s="1">
        <v>3.47</v>
      </c>
      <c r="J612" s="1">
        <v>2.9</v>
      </c>
      <c r="K612" s="6">
        <f>+H612-J612</f>
        <v>-0.42999999999999972</v>
      </c>
      <c r="L612" s="7" t="str">
        <f>IF(F612-G612&gt;0,"Win","Loss")</f>
        <v>Loss</v>
      </c>
      <c r="M612" s="14">
        <f t="shared" si="18"/>
        <v>-50</v>
      </c>
      <c r="N612" s="14">
        <f t="shared" si="19"/>
        <v>50</v>
      </c>
    </row>
    <row r="613" spans="1:14" ht="12.75" x14ac:dyDescent="0.2">
      <c r="A613" s="1" t="s">
        <v>1026</v>
      </c>
      <c r="B613" s="3" t="s">
        <v>1027</v>
      </c>
      <c r="C613" s="4">
        <v>43460</v>
      </c>
      <c r="D613" s="2">
        <v>0.625</v>
      </c>
      <c r="E613" s="1" t="s">
        <v>851</v>
      </c>
      <c r="F613" s="5">
        <v>2</v>
      </c>
      <c r="G613" s="5">
        <v>0</v>
      </c>
      <c r="H613" s="1">
        <v>1.58</v>
      </c>
      <c r="I613" s="1">
        <v>4.12</v>
      </c>
      <c r="J613" s="1">
        <v>6.18</v>
      </c>
      <c r="K613" s="6">
        <f>+H613-J613</f>
        <v>-4.5999999999999996</v>
      </c>
      <c r="L613" s="7" t="str">
        <f>IF(F613-G613&gt;0,"Win","Loss")</f>
        <v>Win</v>
      </c>
      <c r="M613" s="14">
        <f t="shared" si="18"/>
        <v>29</v>
      </c>
      <c r="N613" s="14">
        <f t="shared" si="19"/>
        <v>50</v>
      </c>
    </row>
    <row r="614" spans="1:14" ht="12.75" x14ac:dyDescent="0.2">
      <c r="A614" s="1" t="s">
        <v>1004</v>
      </c>
      <c r="B614" s="3" t="s">
        <v>1005</v>
      </c>
      <c r="C614" s="4">
        <v>43462</v>
      </c>
      <c r="D614" s="2">
        <v>0.36805555555555558</v>
      </c>
      <c r="E614" s="1" t="s">
        <v>301</v>
      </c>
      <c r="F614" s="5">
        <v>1</v>
      </c>
      <c r="G614" s="5">
        <v>1</v>
      </c>
      <c r="H614" s="1">
        <v>1.72</v>
      </c>
      <c r="I614" s="1">
        <v>3.83</v>
      </c>
      <c r="J614" s="1">
        <v>4.74</v>
      </c>
      <c r="K614" s="6">
        <f>+H614-J614</f>
        <v>-3.0200000000000005</v>
      </c>
      <c r="L614" s="7" t="str">
        <f>IF(F614-G614&gt;0,"Win","Loss")</f>
        <v>Loss</v>
      </c>
      <c r="M614" s="14">
        <f t="shared" si="18"/>
        <v>-50</v>
      </c>
      <c r="N614" s="14">
        <f t="shared" si="19"/>
        <v>50</v>
      </c>
    </row>
    <row r="615" spans="1:14" ht="12.75" x14ac:dyDescent="0.2">
      <c r="A615" s="1" t="s">
        <v>1004</v>
      </c>
      <c r="B615" s="3" t="s">
        <v>1005</v>
      </c>
      <c r="C615" s="4">
        <v>43463</v>
      </c>
      <c r="D615" s="2">
        <v>0.36805555555555558</v>
      </c>
      <c r="E615" s="1" t="s">
        <v>300</v>
      </c>
      <c r="F615" s="5">
        <v>2</v>
      </c>
      <c r="G615" s="5">
        <v>1</v>
      </c>
      <c r="H615" s="1">
        <v>1.44</v>
      </c>
      <c r="I615" s="1">
        <v>4.66</v>
      </c>
      <c r="J615" s="1">
        <v>6.72</v>
      </c>
      <c r="K615" s="6">
        <f>+H615-J615</f>
        <v>-5.2799999999999994</v>
      </c>
      <c r="L615" s="7" t="str">
        <f>IF(F615-G615&gt;0,"Win","Loss")</f>
        <v>Win</v>
      </c>
      <c r="M615" s="14">
        <f t="shared" si="18"/>
        <v>22</v>
      </c>
      <c r="N615" s="14">
        <f t="shared" si="19"/>
        <v>50</v>
      </c>
    </row>
    <row r="616" spans="1:14" ht="12.75" x14ac:dyDescent="0.2">
      <c r="A616" s="1" t="s">
        <v>1026</v>
      </c>
      <c r="B616" s="3" t="s">
        <v>1027</v>
      </c>
      <c r="C616" s="4">
        <v>43463</v>
      </c>
      <c r="D616" s="2">
        <v>0.625</v>
      </c>
      <c r="E616" s="1" t="s">
        <v>828</v>
      </c>
      <c r="F616" s="5">
        <v>0</v>
      </c>
      <c r="G616" s="5">
        <v>0</v>
      </c>
      <c r="H616" s="1">
        <v>2.39</v>
      </c>
      <c r="I616" s="1">
        <v>3.29</v>
      </c>
      <c r="J616" s="1">
        <v>3.14</v>
      </c>
      <c r="K616" s="6">
        <f>+H616-J616</f>
        <v>-0.75</v>
      </c>
      <c r="L616" s="7" t="str">
        <f>IF(F616-G616&gt;0,"Win","Loss")</f>
        <v>Loss</v>
      </c>
      <c r="M616" s="14">
        <f t="shared" si="18"/>
        <v>-50</v>
      </c>
      <c r="N616" s="14">
        <f t="shared" si="19"/>
        <v>50</v>
      </c>
    </row>
    <row r="617" spans="1:14" ht="12.75" x14ac:dyDescent="0.2">
      <c r="A617" s="1" t="s">
        <v>1026</v>
      </c>
      <c r="B617" s="3" t="s">
        <v>1027</v>
      </c>
      <c r="C617" s="4">
        <v>43463</v>
      </c>
      <c r="D617" s="2">
        <v>0.625</v>
      </c>
      <c r="E617" s="1" t="s">
        <v>829</v>
      </c>
      <c r="F617" s="5">
        <v>0</v>
      </c>
      <c r="G617" s="5">
        <v>0</v>
      </c>
      <c r="H617" s="1">
        <v>4.5599999999999996</v>
      </c>
      <c r="I617" s="1">
        <v>3.31</v>
      </c>
      <c r="J617" s="1">
        <v>1.93</v>
      </c>
      <c r="K617" s="6">
        <f>+H617-J617</f>
        <v>2.63</v>
      </c>
      <c r="L617" s="7" t="str">
        <f>IF(F617-G617&gt;0,"Win","Loss")</f>
        <v>Loss</v>
      </c>
      <c r="M617" s="14">
        <f t="shared" si="18"/>
        <v>-50</v>
      </c>
      <c r="N617" s="14">
        <f t="shared" si="19"/>
        <v>50</v>
      </c>
    </row>
    <row r="618" spans="1:14" ht="12.75" x14ac:dyDescent="0.2">
      <c r="A618" s="1" t="s">
        <v>1026</v>
      </c>
      <c r="B618" s="3" t="s">
        <v>1027</v>
      </c>
      <c r="C618" s="4">
        <v>43463</v>
      </c>
      <c r="D618" s="2">
        <v>0.625</v>
      </c>
      <c r="E618" s="1" t="s">
        <v>830</v>
      </c>
      <c r="F618" s="5">
        <v>1</v>
      </c>
      <c r="G618" s="5">
        <v>0</v>
      </c>
      <c r="H618" s="1">
        <v>1.63</v>
      </c>
      <c r="I618" s="1">
        <v>3.82</v>
      </c>
      <c r="J618" s="1">
        <v>6.12</v>
      </c>
      <c r="K618" s="6">
        <f>+H618-J618</f>
        <v>-4.49</v>
      </c>
      <c r="L618" s="7" t="str">
        <f>IF(F618-G618&gt;0,"Win","Loss")</f>
        <v>Win</v>
      </c>
      <c r="M618" s="14">
        <f t="shared" si="18"/>
        <v>31.5</v>
      </c>
      <c r="N618" s="14">
        <f t="shared" si="19"/>
        <v>50</v>
      </c>
    </row>
    <row r="619" spans="1:14" ht="12.75" x14ac:dyDescent="0.2">
      <c r="A619" s="1" t="s">
        <v>1026</v>
      </c>
      <c r="B619" s="3" t="s">
        <v>1027</v>
      </c>
      <c r="C619" s="4">
        <v>43463</v>
      </c>
      <c r="D619" s="2">
        <v>0.625</v>
      </c>
      <c r="E619" s="1" t="s">
        <v>831</v>
      </c>
      <c r="F619" s="5">
        <v>0</v>
      </c>
      <c r="G619" s="5">
        <v>2</v>
      </c>
      <c r="H619" s="1">
        <v>1.48</v>
      </c>
      <c r="I619" s="1">
        <v>4.46</v>
      </c>
      <c r="J619" s="1">
        <v>6.95</v>
      </c>
      <c r="K619" s="6">
        <f>+H619-J619</f>
        <v>-5.4700000000000006</v>
      </c>
      <c r="L619" s="7" t="str">
        <f>IF(F619-G619&gt;0,"Win","Loss")</f>
        <v>Loss</v>
      </c>
      <c r="M619" s="14">
        <f t="shared" si="18"/>
        <v>-50</v>
      </c>
      <c r="N619" s="14">
        <f t="shared" si="19"/>
        <v>50</v>
      </c>
    </row>
    <row r="620" spans="1:14" ht="12.75" x14ac:dyDescent="0.2">
      <c r="A620" s="1" t="s">
        <v>1026</v>
      </c>
      <c r="B620" s="3" t="s">
        <v>1027</v>
      </c>
      <c r="C620" s="4">
        <v>43463</v>
      </c>
      <c r="D620" s="2">
        <v>0.625</v>
      </c>
      <c r="E620" s="1" t="s">
        <v>832</v>
      </c>
      <c r="F620" s="5">
        <v>2</v>
      </c>
      <c r="G620" s="5">
        <v>0</v>
      </c>
      <c r="H620" s="1">
        <v>1.54</v>
      </c>
      <c r="I620" s="1">
        <v>3.73</v>
      </c>
      <c r="J620" s="1">
        <v>8.0299999999999994</v>
      </c>
      <c r="K620" s="6">
        <f>+H620-J620</f>
        <v>-6.4899999999999993</v>
      </c>
      <c r="L620" s="7" t="str">
        <f>IF(F620-G620&gt;0,"Win","Loss")</f>
        <v>Win</v>
      </c>
      <c r="M620" s="14">
        <f t="shared" si="18"/>
        <v>27</v>
      </c>
      <c r="N620" s="14">
        <f t="shared" si="19"/>
        <v>50</v>
      </c>
    </row>
    <row r="621" spans="1:14" ht="12.75" x14ac:dyDescent="0.2">
      <c r="A621" s="1" t="s">
        <v>1026</v>
      </c>
      <c r="B621" s="3" t="s">
        <v>1027</v>
      </c>
      <c r="C621" s="4">
        <v>43463</v>
      </c>
      <c r="D621" s="2">
        <v>0.625</v>
      </c>
      <c r="E621" s="1" t="s">
        <v>833</v>
      </c>
      <c r="F621" s="5">
        <v>1</v>
      </c>
      <c r="G621" s="5">
        <v>0</v>
      </c>
      <c r="H621" s="1">
        <v>2.62</v>
      </c>
      <c r="I621" s="1">
        <v>3.25</v>
      </c>
      <c r="J621" s="1">
        <v>2.86</v>
      </c>
      <c r="K621" s="6">
        <f>+H621-J621</f>
        <v>-0.23999999999999977</v>
      </c>
      <c r="L621" s="7" t="str">
        <f>IF(F621-G621&gt;0,"Win","Loss")</f>
        <v>Win</v>
      </c>
      <c r="M621" s="14">
        <f t="shared" si="18"/>
        <v>81</v>
      </c>
      <c r="N621" s="14">
        <f t="shared" si="19"/>
        <v>50</v>
      </c>
    </row>
    <row r="622" spans="1:14" ht="12.75" x14ac:dyDescent="0.2">
      <c r="A622" s="1" t="s">
        <v>1026</v>
      </c>
      <c r="B622" s="3" t="s">
        <v>1027</v>
      </c>
      <c r="C622" s="4">
        <v>43463</v>
      </c>
      <c r="D622" s="2">
        <v>0.625</v>
      </c>
      <c r="E622" s="1" t="s">
        <v>834</v>
      </c>
      <c r="F622" s="5">
        <v>3</v>
      </c>
      <c r="G622" s="5">
        <v>4</v>
      </c>
      <c r="H622" s="1">
        <v>2.0099999999999998</v>
      </c>
      <c r="I622" s="1">
        <v>3.65</v>
      </c>
      <c r="J622" s="1">
        <v>3.73</v>
      </c>
      <c r="K622" s="6">
        <f>+H622-J622</f>
        <v>-1.7200000000000002</v>
      </c>
      <c r="L622" s="7" t="str">
        <f>IF(F622-G622&gt;0,"Win","Loss")</f>
        <v>Loss</v>
      </c>
      <c r="M622" s="14">
        <f t="shared" si="18"/>
        <v>-50</v>
      </c>
      <c r="N622" s="14">
        <f t="shared" si="19"/>
        <v>50</v>
      </c>
    </row>
    <row r="623" spans="1:14" ht="12.75" x14ac:dyDescent="0.2">
      <c r="A623" s="1" t="s">
        <v>1026</v>
      </c>
      <c r="B623" s="3" t="s">
        <v>1027</v>
      </c>
      <c r="C623" s="4">
        <v>43463</v>
      </c>
      <c r="D623" s="2">
        <v>0.625</v>
      </c>
      <c r="E623" s="1" t="s">
        <v>835</v>
      </c>
      <c r="F623" s="5">
        <v>1</v>
      </c>
      <c r="G623" s="5">
        <v>1</v>
      </c>
      <c r="H623" s="1">
        <v>3.08</v>
      </c>
      <c r="I623" s="1">
        <v>3.46</v>
      </c>
      <c r="J623" s="1">
        <v>2.34</v>
      </c>
      <c r="K623" s="6">
        <f>+H623-J623</f>
        <v>0.74000000000000021</v>
      </c>
      <c r="L623" s="7" t="str">
        <f>IF(F623-G623&gt;0,"Win","Loss")</f>
        <v>Loss</v>
      </c>
      <c r="M623" s="14">
        <f t="shared" si="18"/>
        <v>-50</v>
      </c>
      <c r="N623" s="14">
        <f t="shared" si="19"/>
        <v>50</v>
      </c>
    </row>
    <row r="624" spans="1:14" ht="12.75" x14ac:dyDescent="0.2">
      <c r="A624" s="1" t="s">
        <v>1026</v>
      </c>
      <c r="B624" s="3" t="s">
        <v>1027</v>
      </c>
      <c r="C624" s="4">
        <v>43463</v>
      </c>
      <c r="D624" s="2">
        <v>0.625</v>
      </c>
      <c r="E624" s="1" t="s">
        <v>836</v>
      </c>
      <c r="F624" s="5">
        <v>0</v>
      </c>
      <c r="G624" s="5">
        <v>0</v>
      </c>
      <c r="H624" s="1">
        <v>1.73</v>
      </c>
      <c r="I624" s="1">
        <v>3.77</v>
      </c>
      <c r="J624" s="1">
        <v>5.07</v>
      </c>
      <c r="K624" s="6">
        <f>+H624-J624</f>
        <v>-3.3400000000000003</v>
      </c>
      <c r="L624" s="7" t="str">
        <f>IF(F624-G624&gt;0,"Win","Loss")</f>
        <v>Loss</v>
      </c>
      <c r="M624" s="14">
        <f t="shared" si="18"/>
        <v>-50</v>
      </c>
      <c r="N624" s="14">
        <f t="shared" si="19"/>
        <v>50</v>
      </c>
    </row>
    <row r="625" spans="1:14" ht="12.75" x14ac:dyDescent="0.2">
      <c r="A625" s="1" t="s">
        <v>1026</v>
      </c>
      <c r="B625" s="3" t="s">
        <v>1027</v>
      </c>
      <c r="C625" s="4">
        <v>43463</v>
      </c>
      <c r="D625" s="2">
        <v>0.625</v>
      </c>
      <c r="E625" s="1" t="s">
        <v>837</v>
      </c>
      <c r="F625" s="5">
        <v>3</v>
      </c>
      <c r="G625" s="5">
        <v>0</v>
      </c>
      <c r="H625" s="1">
        <v>1.5</v>
      </c>
      <c r="I625" s="1">
        <v>4.51</v>
      </c>
      <c r="J625" s="1">
        <v>6.54</v>
      </c>
      <c r="K625" s="6">
        <f>+H625-J625</f>
        <v>-5.04</v>
      </c>
      <c r="L625" s="7" t="str">
        <f>IF(F625-G625&gt;0,"Win","Loss")</f>
        <v>Win</v>
      </c>
      <c r="M625" s="14">
        <f t="shared" si="18"/>
        <v>25</v>
      </c>
      <c r="N625" s="14">
        <f t="shared" si="19"/>
        <v>50</v>
      </c>
    </row>
    <row r="626" spans="1:14" ht="12.75" x14ac:dyDescent="0.2">
      <c r="A626" s="1" t="s">
        <v>1026</v>
      </c>
      <c r="B626" s="3" t="s">
        <v>1027</v>
      </c>
      <c r="C626" s="4">
        <v>43463</v>
      </c>
      <c r="D626" s="2">
        <v>0.625</v>
      </c>
      <c r="E626" s="1" t="s">
        <v>838</v>
      </c>
      <c r="F626" s="5">
        <v>2</v>
      </c>
      <c r="G626" s="5">
        <v>2</v>
      </c>
      <c r="H626" s="1">
        <v>1.91</v>
      </c>
      <c r="I626" s="1">
        <v>3.55</v>
      </c>
      <c r="J626" s="1">
        <v>4.2699999999999996</v>
      </c>
      <c r="K626" s="6">
        <f>+H626-J626</f>
        <v>-2.3599999999999994</v>
      </c>
      <c r="L626" s="7" t="str">
        <f>IF(F626-G626&gt;0,"Win","Loss")</f>
        <v>Loss</v>
      </c>
      <c r="M626" s="14">
        <f t="shared" si="18"/>
        <v>-50</v>
      </c>
      <c r="N626" s="14">
        <f t="shared" si="19"/>
        <v>50</v>
      </c>
    </row>
    <row r="627" spans="1:14" ht="12.75" x14ac:dyDescent="0.2">
      <c r="A627" s="1" t="s">
        <v>1026</v>
      </c>
      <c r="B627" s="3" t="s">
        <v>1027</v>
      </c>
      <c r="C627" s="4">
        <v>43463</v>
      </c>
      <c r="D627" s="2">
        <v>0.625</v>
      </c>
      <c r="E627" s="1" t="s">
        <v>839</v>
      </c>
      <c r="F627" s="5">
        <v>1</v>
      </c>
      <c r="G627" s="5">
        <v>1</v>
      </c>
      <c r="H627" s="1">
        <v>1.67</v>
      </c>
      <c r="I627" s="1">
        <v>3.76</v>
      </c>
      <c r="J627" s="1">
        <v>5.73</v>
      </c>
      <c r="K627" s="6">
        <f>+H627-J627</f>
        <v>-4.0600000000000005</v>
      </c>
      <c r="L627" s="7" t="str">
        <f>IF(F627-G627&gt;0,"Win","Loss")</f>
        <v>Loss</v>
      </c>
      <c r="M627" s="14">
        <f t="shared" si="18"/>
        <v>-50</v>
      </c>
      <c r="N627" s="14">
        <f t="shared" si="19"/>
        <v>50</v>
      </c>
    </row>
    <row r="628" spans="1:14" ht="12.75" x14ac:dyDescent="0.2">
      <c r="A628" s="1" t="s">
        <v>1004</v>
      </c>
      <c r="B628" s="3" t="s">
        <v>1005</v>
      </c>
      <c r="C628" s="4">
        <v>43464</v>
      </c>
      <c r="D628" s="2">
        <v>0.35416666666666669</v>
      </c>
      <c r="E628" s="1" t="s">
        <v>299</v>
      </c>
      <c r="F628" s="5">
        <v>1</v>
      </c>
      <c r="G628" s="5">
        <v>2</v>
      </c>
      <c r="H628" s="1">
        <v>2.29</v>
      </c>
      <c r="I628" s="1">
        <v>3.54</v>
      </c>
      <c r="J628" s="1">
        <v>2.97</v>
      </c>
      <c r="K628" s="6">
        <f>+H628-J628</f>
        <v>-0.68000000000000016</v>
      </c>
      <c r="L628" s="7" t="str">
        <f>IF(F628-G628&gt;0,"Win","Loss")</f>
        <v>Loss</v>
      </c>
      <c r="M628" s="14">
        <f t="shared" si="18"/>
        <v>-50</v>
      </c>
      <c r="N628" s="14">
        <f t="shared" si="19"/>
        <v>50</v>
      </c>
    </row>
    <row r="629" spans="1:14" ht="12.75" x14ac:dyDescent="0.2">
      <c r="A629" s="1" t="s">
        <v>1004</v>
      </c>
      <c r="B629" s="3" t="s">
        <v>1005</v>
      </c>
      <c r="C629" s="4">
        <v>43465</v>
      </c>
      <c r="D629" s="2">
        <v>0.33333333333333331</v>
      </c>
      <c r="E629" s="1" t="s">
        <v>298</v>
      </c>
      <c r="F629" s="5">
        <v>1</v>
      </c>
      <c r="G629" s="5">
        <v>4</v>
      </c>
      <c r="H629" s="1">
        <v>4.5199999999999996</v>
      </c>
      <c r="I629" s="1">
        <v>3.82</v>
      </c>
      <c r="J629" s="1">
        <v>1.76</v>
      </c>
      <c r="K629" s="6">
        <f>+H629-J629</f>
        <v>2.76</v>
      </c>
      <c r="L629" s="7" t="str">
        <f>IF(F629-G629&gt;0,"Win","Loss")</f>
        <v>Loss</v>
      </c>
      <c r="M629" s="14">
        <f t="shared" si="18"/>
        <v>-50</v>
      </c>
      <c r="N629" s="14">
        <f t="shared" si="19"/>
        <v>50</v>
      </c>
    </row>
    <row r="630" spans="1:14" ht="12.75" x14ac:dyDescent="0.2">
      <c r="A630" s="1" t="s">
        <v>1004</v>
      </c>
      <c r="B630" s="3" t="s">
        <v>1005</v>
      </c>
      <c r="C630" s="4">
        <v>43466</v>
      </c>
      <c r="D630" s="2">
        <v>0.36805555555555558</v>
      </c>
      <c r="E630" s="1" t="s">
        <v>297</v>
      </c>
      <c r="F630" s="5">
        <v>0</v>
      </c>
      <c r="G630" s="5">
        <v>2</v>
      </c>
      <c r="H630" s="1">
        <v>2.59</v>
      </c>
      <c r="I630" s="1">
        <v>3.4</v>
      </c>
      <c r="J630" s="1">
        <v>2.69</v>
      </c>
      <c r="K630" s="6">
        <f>+H630-J630</f>
        <v>-0.10000000000000009</v>
      </c>
      <c r="L630" s="7" t="str">
        <f>IF(F630-G630&gt;0,"Win","Loss")</f>
        <v>Loss</v>
      </c>
      <c r="M630" s="14">
        <f t="shared" si="18"/>
        <v>-50</v>
      </c>
      <c r="N630" s="14">
        <f t="shared" si="19"/>
        <v>50</v>
      </c>
    </row>
    <row r="631" spans="1:14" ht="12.75" x14ac:dyDescent="0.2">
      <c r="A631" s="1" t="s">
        <v>1026</v>
      </c>
      <c r="B631" s="3" t="s">
        <v>1027</v>
      </c>
      <c r="C631" s="4">
        <v>43466</v>
      </c>
      <c r="D631" s="2">
        <v>0.625</v>
      </c>
      <c r="E631" s="1" t="s">
        <v>826</v>
      </c>
      <c r="F631" s="5">
        <v>0</v>
      </c>
      <c r="G631" s="5">
        <v>2</v>
      </c>
      <c r="H631" s="1">
        <v>2.2200000000000002</v>
      </c>
      <c r="I631" s="1">
        <v>3.12</v>
      </c>
      <c r="J631" s="1">
        <v>3.76</v>
      </c>
      <c r="K631" s="6">
        <f>+H631-J631</f>
        <v>-1.5399999999999996</v>
      </c>
      <c r="L631" s="7" t="str">
        <f>IF(F631-G631&gt;0,"Win","Loss")</f>
        <v>Loss</v>
      </c>
      <c r="M631" s="14">
        <f t="shared" si="18"/>
        <v>-50</v>
      </c>
      <c r="N631" s="14">
        <f t="shared" si="19"/>
        <v>50</v>
      </c>
    </row>
    <row r="632" spans="1:14" ht="12.75" x14ac:dyDescent="0.2">
      <c r="A632" s="1" t="s">
        <v>1026</v>
      </c>
      <c r="B632" s="3" t="s">
        <v>1027</v>
      </c>
      <c r="C632" s="4">
        <v>43466</v>
      </c>
      <c r="D632" s="2">
        <v>0.625</v>
      </c>
      <c r="E632" s="1" t="s">
        <v>827</v>
      </c>
      <c r="F632" s="5">
        <v>0</v>
      </c>
      <c r="G632" s="5">
        <v>3</v>
      </c>
      <c r="H632" s="1">
        <v>3.59</v>
      </c>
      <c r="I632" s="1">
        <v>3.34</v>
      </c>
      <c r="J632" s="1">
        <v>2.1800000000000002</v>
      </c>
      <c r="K632" s="6">
        <f>+H632-J632</f>
        <v>1.4099999999999997</v>
      </c>
      <c r="L632" s="7" t="str">
        <f>IF(F632-G632&gt;0,"Win","Loss")</f>
        <v>Loss</v>
      </c>
      <c r="M632" s="14">
        <f t="shared" si="18"/>
        <v>-50</v>
      </c>
      <c r="N632" s="14">
        <f t="shared" si="19"/>
        <v>50</v>
      </c>
    </row>
    <row r="633" spans="1:14" ht="12.75" x14ac:dyDescent="0.2">
      <c r="A633" s="1" t="s">
        <v>1004</v>
      </c>
      <c r="B633" s="3" t="s">
        <v>1005</v>
      </c>
      <c r="C633" s="4">
        <v>43467</v>
      </c>
      <c r="D633" s="2">
        <v>0.36805555555555558</v>
      </c>
      <c r="E633" s="1" t="s">
        <v>296</v>
      </c>
      <c r="F633" s="5">
        <v>2</v>
      </c>
      <c r="G633" s="5">
        <v>2</v>
      </c>
      <c r="H633" s="1">
        <v>1.58</v>
      </c>
      <c r="I633" s="1">
        <v>4.3</v>
      </c>
      <c r="J633" s="1">
        <v>5.32</v>
      </c>
      <c r="K633" s="6">
        <f>+H633-J633</f>
        <v>-3.74</v>
      </c>
      <c r="L633" s="7" t="str">
        <f>IF(F633-G633&gt;0,"Win","Loss")</f>
        <v>Loss</v>
      </c>
      <c r="M633" s="14">
        <f t="shared" si="18"/>
        <v>-50</v>
      </c>
      <c r="N633" s="14">
        <f t="shared" si="19"/>
        <v>50</v>
      </c>
    </row>
    <row r="634" spans="1:14" ht="12.75" x14ac:dyDescent="0.2">
      <c r="A634" s="1" t="s">
        <v>1004</v>
      </c>
      <c r="B634" s="3" t="s">
        <v>1005</v>
      </c>
      <c r="C634" s="4">
        <v>43469</v>
      </c>
      <c r="D634" s="2">
        <v>0.36805555555555558</v>
      </c>
      <c r="E634" s="1" t="s">
        <v>295</v>
      </c>
      <c r="F634" s="5">
        <v>5</v>
      </c>
      <c r="G634" s="5">
        <v>2</v>
      </c>
      <c r="H634" s="1">
        <v>1.27</v>
      </c>
      <c r="I634" s="1">
        <v>5.61</v>
      </c>
      <c r="J634" s="1">
        <v>10.8</v>
      </c>
      <c r="K634" s="6">
        <f>+H634-J634</f>
        <v>-9.5300000000000011</v>
      </c>
      <c r="L634" s="7" t="str">
        <f>IF(F634-G634&gt;0,"Win","Loss")</f>
        <v>Win</v>
      </c>
      <c r="M634" s="14">
        <f t="shared" si="18"/>
        <v>13.5</v>
      </c>
      <c r="N634" s="14">
        <f t="shared" si="19"/>
        <v>50</v>
      </c>
    </row>
    <row r="635" spans="1:14" ht="12.75" x14ac:dyDescent="0.2">
      <c r="A635" s="1" t="s">
        <v>1004</v>
      </c>
      <c r="B635" s="3" t="s">
        <v>1005</v>
      </c>
      <c r="C635" s="4">
        <v>43470</v>
      </c>
      <c r="D635" s="2">
        <v>0.36805555555555558</v>
      </c>
      <c r="E635" s="1" t="s">
        <v>293</v>
      </c>
      <c r="F635" s="5">
        <v>1</v>
      </c>
      <c r="G635" s="5">
        <v>2</v>
      </c>
      <c r="H635" s="1">
        <v>2.79</v>
      </c>
      <c r="I635" s="1">
        <v>3.57</v>
      </c>
      <c r="J635" s="1">
        <v>2.41</v>
      </c>
      <c r="K635" s="6">
        <f>+H635-J635</f>
        <v>0.37999999999999989</v>
      </c>
      <c r="L635" s="7" t="str">
        <f>IF(F635-G635&gt;0,"Win","Loss")</f>
        <v>Loss</v>
      </c>
      <c r="M635" s="14">
        <f t="shared" si="18"/>
        <v>-50</v>
      </c>
      <c r="N635" s="14">
        <f t="shared" si="19"/>
        <v>50</v>
      </c>
    </row>
    <row r="636" spans="1:14" ht="12.75" x14ac:dyDescent="0.2">
      <c r="A636" s="1" t="s">
        <v>1004</v>
      </c>
      <c r="B636" s="3" t="s">
        <v>1005</v>
      </c>
      <c r="C636" s="4">
        <v>43470</v>
      </c>
      <c r="D636" s="2">
        <v>0.27430555555555552</v>
      </c>
      <c r="E636" s="1" t="s">
        <v>294</v>
      </c>
      <c r="F636" s="5">
        <v>0</v>
      </c>
      <c r="G636" s="5">
        <v>0</v>
      </c>
      <c r="H636" s="1">
        <v>1.95</v>
      </c>
      <c r="I636" s="1">
        <v>3.67</v>
      </c>
      <c r="J636" s="1">
        <v>3.76</v>
      </c>
      <c r="K636" s="6">
        <f>+H636-J636</f>
        <v>-1.8099999999999998</v>
      </c>
      <c r="L636" s="7" t="str">
        <f>IF(F636-G636&gt;0,"Win","Loss")</f>
        <v>Loss</v>
      </c>
      <c r="M636" s="14">
        <f t="shared" si="18"/>
        <v>-50</v>
      </c>
      <c r="N636" s="14">
        <f t="shared" si="19"/>
        <v>50</v>
      </c>
    </row>
    <row r="637" spans="1:14" ht="12.75" x14ac:dyDescent="0.2">
      <c r="A637" s="1" t="s">
        <v>1004</v>
      </c>
      <c r="B637" s="3" t="s">
        <v>1005</v>
      </c>
      <c r="C637" s="4">
        <v>43471</v>
      </c>
      <c r="D637" s="2">
        <v>0.33333333333333331</v>
      </c>
      <c r="E637" s="1" t="s">
        <v>291</v>
      </c>
      <c r="F637" s="5">
        <v>2</v>
      </c>
      <c r="G637" s="5">
        <v>4</v>
      </c>
      <c r="H637" s="1">
        <v>2.82</v>
      </c>
      <c r="I637" s="1">
        <v>3.57</v>
      </c>
      <c r="J637" s="1">
        <v>2.38</v>
      </c>
      <c r="K637" s="6">
        <f>+H637-J637</f>
        <v>0.43999999999999995</v>
      </c>
      <c r="L637" s="7" t="str">
        <f>IF(F637-G637&gt;0,"Win","Loss")</f>
        <v>Loss</v>
      </c>
      <c r="M637" s="14">
        <f t="shared" si="18"/>
        <v>-50</v>
      </c>
      <c r="N637" s="14">
        <f t="shared" si="19"/>
        <v>50</v>
      </c>
    </row>
    <row r="638" spans="1:14" ht="12.75" x14ac:dyDescent="0.2">
      <c r="A638" s="1" t="s">
        <v>1004</v>
      </c>
      <c r="B638" s="3" t="s">
        <v>1005</v>
      </c>
      <c r="C638" s="4">
        <v>43471</v>
      </c>
      <c r="D638" s="2">
        <v>0.25</v>
      </c>
      <c r="E638" s="1" t="s">
        <v>292</v>
      </c>
      <c r="F638" s="5">
        <v>2</v>
      </c>
      <c r="G638" s="5">
        <v>1</v>
      </c>
      <c r="H638" s="1">
        <v>2.1800000000000002</v>
      </c>
      <c r="I638" s="1">
        <v>3.33</v>
      </c>
      <c r="J638" s="1">
        <v>3.4</v>
      </c>
      <c r="K638" s="6">
        <f>+H638-J638</f>
        <v>-1.2199999999999998</v>
      </c>
      <c r="L638" s="7" t="str">
        <f>IF(F638-G638&gt;0,"Win","Loss")</f>
        <v>Win</v>
      </c>
      <c r="M638" s="14">
        <f t="shared" si="18"/>
        <v>59.000000000000014</v>
      </c>
      <c r="N638" s="14">
        <f t="shared" si="19"/>
        <v>50</v>
      </c>
    </row>
    <row r="639" spans="1:14" ht="12.75" x14ac:dyDescent="0.2">
      <c r="A639" s="1" t="s">
        <v>1004</v>
      </c>
      <c r="B639" s="3" t="s">
        <v>1005</v>
      </c>
      <c r="C639" s="4">
        <v>43473</v>
      </c>
      <c r="D639" s="2">
        <v>0.36805555555555558</v>
      </c>
      <c r="E639" s="1" t="s">
        <v>290</v>
      </c>
      <c r="F639" s="5">
        <v>2</v>
      </c>
      <c r="G639" s="5">
        <v>3</v>
      </c>
      <c r="H639" s="1">
        <v>2</v>
      </c>
      <c r="I639" s="1">
        <v>3.66</v>
      </c>
      <c r="J639" s="1">
        <v>3.56</v>
      </c>
      <c r="K639" s="6">
        <f>+H639-J639</f>
        <v>-1.56</v>
      </c>
      <c r="L639" s="7" t="str">
        <f>IF(F639-G639&gt;0,"Win","Loss")</f>
        <v>Loss</v>
      </c>
      <c r="M639" s="14">
        <f t="shared" si="18"/>
        <v>-50</v>
      </c>
      <c r="N639" s="14">
        <f t="shared" si="19"/>
        <v>50</v>
      </c>
    </row>
    <row r="640" spans="1:14" ht="12.75" x14ac:dyDescent="0.2">
      <c r="A640" s="1" t="s">
        <v>1026</v>
      </c>
      <c r="B640" s="3" t="s">
        <v>1028</v>
      </c>
      <c r="C640" s="4">
        <v>43473</v>
      </c>
      <c r="D640" s="2">
        <v>0.82291666666666663</v>
      </c>
      <c r="E640" s="1" t="s">
        <v>883</v>
      </c>
      <c r="F640" s="5">
        <v>2</v>
      </c>
      <c r="G640" s="5">
        <v>4</v>
      </c>
      <c r="H640" s="1">
        <v>2.74</v>
      </c>
      <c r="I640" s="1">
        <v>3.43</v>
      </c>
      <c r="J640" s="1">
        <v>2.4</v>
      </c>
      <c r="K640" s="6">
        <f>+H640-J640</f>
        <v>0.3400000000000003</v>
      </c>
      <c r="L640" s="7" t="str">
        <f>IF(F640-G640&gt;0,"Win","Loss")</f>
        <v>Loss</v>
      </c>
      <c r="M640" s="14">
        <f t="shared" si="18"/>
        <v>-50</v>
      </c>
      <c r="N640" s="14">
        <f t="shared" si="19"/>
        <v>50</v>
      </c>
    </row>
    <row r="641" spans="1:14" ht="12.75" x14ac:dyDescent="0.2">
      <c r="A641" s="1" t="s">
        <v>1026</v>
      </c>
      <c r="B641" s="3" t="s">
        <v>1028</v>
      </c>
      <c r="C641" s="4">
        <v>43473</v>
      </c>
      <c r="D641" s="2">
        <v>0.82291666666666663</v>
      </c>
      <c r="E641" s="1" t="s">
        <v>884</v>
      </c>
      <c r="F641" s="5">
        <v>1</v>
      </c>
      <c r="G641" s="5" t="s">
        <v>980</v>
      </c>
      <c r="H641" s="1">
        <v>2.67</v>
      </c>
      <c r="I641" s="1">
        <v>3.5</v>
      </c>
      <c r="J641" s="1">
        <v>2.4300000000000002</v>
      </c>
      <c r="K641" s="6">
        <f>+H641-J641</f>
        <v>0.23999999999999977</v>
      </c>
      <c r="L641" s="7" t="str">
        <f>IF(F641-G641&gt;0,"Win","Loss")</f>
        <v>Loss</v>
      </c>
      <c r="M641" s="14">
        <f t="shared" si="18"/>
        <v>-50</v>
      </c>
      <c r="N641" s="14">
        <f t="shared" si="19"/>
        <v>50</v>
      </c>
    </row>
    <row r="642" spans="1:14" ht="12.75" x14ac:dyDescent="0.2">
      <c r="A642" s="1" t="s">
        <v>1026</v>
      </c>
      <c r="B642" s="3" t="s">
        <v>1028</v>
      </c>
      <c r="C642" s="4">
        <v>43473</v>
      </c>
      <c r="D642" s="2">
        <v>0.82291666666666663</v>
      </c>
      <c r="E642" s="1" t="s">
        <v>885</v>
      </c>
      <c r="F642" s="5">
        <v>1</v>
      </c>
      <c r="G642" s="5">
        <v>2</v>
      </c>
      <c r="H642" s="1">
        <v>2.5299999999999998</v>
      </c>
      <c r="I642" s="1">
        <v>3.3</v>
      </c>
      <c r="J642" s="1">
        <v>2.67</v>
      </c>
      <c r="K642" s="6">
        <f>+H642-J642</f>
        <v>-0.14000000000000012</v>
      </c>
      <c r="L642" s="7" t="str">
        <f>IF(F642-G642&gt;0,"Win","Loss")</f>
        <v>Loss</v>
      </c>
      <c r="M642" s="14">
        <f t="shared" si="18"/>
        <v>-50</v>
      </c>
      <c r="N642" s="14">
        <f t="shared" si="19"/>
        <v>50</v>
      </c>
    </row>
    <row r="643" spans="1:14" ht="12.75" x14ac:dyDescent="0.2">
      <c r="A643" s="1" t="s">
        <v>1026</v>
      </c>
      <c r="B643" s="3" t="s">
        <v>1028</v>
      </c>
      <c r="C643" s="4">
        <v>43473</v>
      </c>
      <c r="D643" s="2">
        <v>0.82291666666666663</v>
      </c>
      <c r="E643" s="1" t="s">
        <v>886</v>
      </c>
      <c r="F643" s="5">
        <v>2</v>
      </c>
      <c r="G643" s="5" t="s">
        <v>979</v>
      </c>
      <c r="H643" s="1">
        <v>2.29</v>
      </c>
      <c r="I643" s="1">
        <v>3.21</v>
      </c>
      <c r="J643" s="1">
        <v>3.1</v>
      </c>
      <c r="K643" s="6">
        <f>+H643-J643</f>
        <v>-0.81</v>
      </c>
      <c r="L643" s="7" t="str">
        <f>IF(F643-G643&gt;0,"Win","Loss")</f>
        <v>Win</v>
      </c>
      <c r="M643" s="14">
        <f t="shared" si="18"/>
        <v>64.5</v>
      </c>
      <c r="N643" s="14">
        <f t="shared" si="19"/>
        <v>50</v>
      </c>
    </row>
    <row r="644" spans="1:14" ht="12.75" x14ac:dyDescent="0.2">
      <c r="A644" s="1" t="s">
        <v>1026</v>
      </c>
      <c r="B644" s="3" t="s">
        <v>1028</v>
      </c>
      <c r="C644" s="4">
        <v>43473</v>
      </c>
      <c r="D644" s="2">
        <v>0.82291666666666663</v>
      </c>
      <c r="E644" s="1" t="s">
        <v>887</v>
      </c>
      <c r="F644" s="5">
        <v>0</v>
      </c>
      <c r="G644" s="5">
        <v>2</v>
      </c>
      <c r="H644" s="1">
        <v>1.9</v>
      </c>
      <c r="I644" s="1">
        <v>3.62</v>
      </c>
      <c r="J644" s="1">
        <v>3.7</v>
      </c>
      <c r="K644" s="6">
        <f>+H644-J644</f>
        <v>-1.8000000000000003</v>
      </c>
      <c r="L644" s="7" t="str">
        <f>IF(F644-G644&gt;0,"Win","Loss")</f>
        <v>Loss</v>
      </c>
      <c r="M644" s="14">
        <f t="shared" si="18"/>
        <v>-50</v>
      </c>
      <c r="N644" s="14">
        <f t="shared" si="19"/>
        <v>50</v>
      </c>
    </row>
    <row r="645" spans="1:14" ht="12.75" x14ac:dyDescent="0.2">
      <c r="A645" s="1" t="s">
        <v>1026</v>
      </c>
      <c r="B645" s="3" t="s">
        <v>1028</v>
      </c>
      <c r="C645" s="4">
        <v>43473</v>
      </c>
      <c r="D645" s="2">
        <v>0.82291666666666663</v>
      </c>
      <c r="E645" s="1" t="s">
        <v>888</v>
      </c>
      <c r="F645" s="5">
        <v>4</v>
      </c>
      <c r="G645" s="5">
        <v>0</v>
      </c>
      <c r="H645" s="1">
        <v>1.34</v>
      </c>
      <c r="I645" s="1">
        <v>4.93</v>
      </c>
      <c r="J645" s="1">
        <v>8.0500000000000007</v>
      </c>
      <c r="K645" s="6">
        <f>+H645-J645</f>
        <v>-6.7100000000000009</v>
      </c>
      <c r="L645" s="7" t="str">
        <f>IF(F645-G645&gt;0,"Win","Loss")</f>
        <v>Win</v>
      </c>
      <c r="M645" s="14">
        <f t="shared" si="18"/>
        <v>17</v>
      </c>
      <c r="N645" s="14">
        <f t="shared" si="19"/>
        <v>50</v>
      </c>
    </row>
    <row r="646" spans="1:14" ht="12.75" x14ac:dyDescent="0.2">
      <c r="A646" s="1" t="s">
        <v>1026</v>
      </c>
      <c r="B646" s="3" t="s">
        <v>1028</v>
      </c>
      <c r="C646" s="4">
        <v>43473</v>
      </c>
      <c r="D646" s="2">
        <v>0.79166666666666663</v>
      </c>
      <c r="E646" s="1" t="s">
        <v>889</v>
      </c>
      <c r="F646" s="5">
        <v>2</v>
      </c>
      <c r="G646" s="5">
        <v>4</v>
      </c>
      <c r="H646" s="1">
        <v>2.69</v>
      </c>
      <c r="I646" s="1">
        <v>3.61</v>
      </c>
      <c r="J646" s="1">
        <v>2.36</v>
      </c>
      <c r="K646" s="6">
        <f>+H646-J646</f>
        <v>0.33000000000000007</v>
      </c>
      <c r="L646" s="7" t="str">
        <f>IF(F646-G646&gt;0,"Win","Loss")</f>
        <v>Loss</v>
      </c>
      <c r="M646" s="14">
        <f t="shared" si="18"/>
        <v>-50</v>
      </c>
      <c r="N646" s="14">
        <f t="shared" si="19"/>
        <v>50</v>
      </c>
    </row>
    <row r="647" spans="1:14" ht="12.75" x14ac:dyDescent="0.2">
      <c r="A647" s="1" t="s">
        <v>1004</v>
      </c>
      <c r="B647" s="3" t="s">
        <v>1005</v>
      </c>
      <c r="C647" s="4">
        <v>43474</v>
      </c>
      <c r="D647" s="2">
        <v>0.45833333333333331</v>
      </c>
      <c r="E647" s="1" t="s">
        <v>288</v>
      </c>
      <c r="F647" s="5">
        <v>3</v>
      </c>
      <c r="G647" s="5">
        <v>1</v>
      </c>
      <c r="H647" s="1">
        <v>2.54</v>
      </c>
      <c r="I647" s="1">
        <v>3.43</v>
      </c>
      <c r="J647" s="1">
        <v>2.72</v>
      </c>
      <c r="K647" s="6">
        <f>+H647-J647</f>
        <v>-0.18000000000000016</v>
      </c>
      <c r="L647" s="7" t="str">
        <f>IF(F647-G647&gt;0,"Win","Loss")</f>
        <v>Win</v>
      </c>
      <c r="M647" s="14">
        <f t="shared" si="18"/>
        <v>77</v>
      </c>
      <c r="N647" s="14">
        <f t="shared" si="19"/>
        <v>50</v>
      </c>
    </row>
    <row r="648" spans="1:14" ht="12.75" x14ac:dyDescent="0.2">
      <c r="A648" s="1" t="s">
        <v>1004</v>
      </c>
      <c r="B648" s="3" t="s">
        <v>1005</v>
      </c>
      <c r="C648" s="4">
        <v>43474</v>
      </c>
      <c r="D648" s="2">
        <v>0.36805555555555558</v>
      </c>
      <c r="E648" s="1" t="s">
        <v>289</v>
      </c>
      <c r="F648" s="5">
        <v>2</v>
      </c>
      <c r="G648" s="5">
        <v>0</v>
      </c>
      <c r="H648" s="1">
        <v>2.42</v>
      </c>
      <c r="I648" s="1">
        <v>3.52</v>
      </c>
      <c r="J648" s="1">
        <v>2.8</v>
      </c>
      <c r="K648" s="6">
        <f>+H648-J648</f>
        <v>-0.37999999999999989</v>
      </c>
      <c r="L648" s="7" t="str">
        <f>IF(F648-G648&gt;0,"Win","Loss")</f>
        <v>Win</v>
      </c>
      <c r="M648" s="14">
        <f t="shared" si="18"/>
        <v>71</v>
      </c>
      <c r="N648" s="14">
        <f t="shared" si="19"/>
        <v>50</v>
      </c>
    </row>
    <row r="649" spans="1:14" ht="12.75" x14ac:dyDescent="0.2">
      <c r="A649" s="1" t="s">
        <v>1026</v>
      </c>
      <c r="B649" s="3" t="s">
        <v>1028</v>
      </c>
      <c r="C649" s="4">
        <v>43474</v>
      </c>
      <c r="D649" s="2">
        <v>0.79166666666666663</v>
      </c>
      <c r="E649" s="1" t="s">
        <v>882</v>
      </c>
      <c r="F649" s="5">
        <v>1</v>
      </c>
      <c r="G649" s="5">
        <v>3</v>
      </c>
      <c r="H649" s="1">
        <v>3.12</v>
      </c>
      <c r="I649" s="1">
        <v>3.69</v>
      </c>
      <c r="J649" s="1">
        <v>2.08</v>
      </c>
      <c r="K649" s="6">
        <f>+H649-J649</f>
        <v>1.04</v>
      </c>
      <c r="L649" s="7" t="str">
        <f>IF(F649-G649&gt;0,"Win","Loss")</f>
        <v>Loss</v>
      </c>
      <c r="M649" s="14">
        <f t="shared" si="18"/>
        <v>-50</v>
      </c>
      <c r="N649" s="14">
        <f t="shared" si="19"/>
        <v>50</v>
      </c>
    </row>
    <row r="650" spans="1:14" ht="12.75" x14ac:dyDescent="0.2">
      <c r="A650" s="1" t="s">
        <v>1004</v>
      </c>
      <c r="B650" s="3" t="s">
        <v>1005</v>
      </c>
      <c r="C650" s="4">
        <v>43476</v>
      </c>
      <c r="D650" s="2">
        <v>0.36805555555555558</v>
      </c>
      <c r="E650" s="1" t="s">
        <v>287</v>
      </c>
      <c r="F650" s="5">
        <v>1</v>
      </c>
      <c r="G650" s="5">
        <v>0</v>
      </c>
      <c r="H650" s="1">
        <v>1.64</v>
      </c>
      <c r="I650" s="1">
        <v>4.0999999999999996</v>
      </c>
      <c r="J650" s="1">
        <v>5.12</v>
      </c>
      <c r="K650" s="6">
        <f>+H650-J650</f>
        <v>-3.4800000000000004</v>
      </c>
      <c r="L650" s="7" t="str">
        <f>IF(F650-G650&gt;0,"Win","Loss")</f>
        <v>Win</v>
      </c>
      <c r="M650" s="14">
        <f t="shared" si="18"/>
        <v>32</v>
      </c>
      <c r="N650" s="14">
        <f t="shared" si="19"/>
        <v>50</v>
      </c>
    </row>
    <row r="651" spans="1:14" ht="12.75" x14ac:dyDescent="0.2">
      <c r="A651" s="1" t="s">
        <v>1010</v>
      </c>
      <c r="B651" s="3" t="s">
        <v>1011</v>
      </c>
      <c r="C651" s="4">
        <v>43478</v>
      </c>
      <c r="D651" s="2">
        <v>0.58333333333333337</v>
      </c>
      <c r="E651" s="1" t="s">
        <v>483</v>
      </c>
      <c r="F651" s="5">
        <v>0</v>
      </c>
      <c r="G651" s="5">
        <v>3</v>
      </c>
      <c r="H651" s="1">
        <v>2.4</v>
      </c>
      <c r="I651" s="1">
        <v>3.4</v>
      </c>
      <c r="J651" s="1">
        <v>2.4</v>
      </c>
      <c r="K651" s="6">
        <f>+H651-J651</f>
        <v>0</v>
      </c>
      <c r="L651" s="7" t="str">
        <f>IF(F651-G651&gt;0,"Win","Loss")</f>
        <v>Loss</v>
      </c>
      <c r="M651" s="14">
        <f t="shared" si="18"/>
        <v>-50</v>
      </c>
      <c r="N651" s="14">
        <f t="shared" si="19"/>
        <v>50</v>
      </c>
    </row>
    <row r="652" spans="1:14" ht="12.75" x14ac:dyDescent="0.2">
      <c r="A652" s="1" t="s">
        <v>1010</v>
      </c>
      <c r="B652" s="3" t="s">
        <v>1011</v>
      </c>
      <c r="C652" s="4">
        <v>43484</v>
      </c>
      <c r="D652" s="2">
        <v>0.79166666666666663</v>
      </c>
      <c r="E652" s="1" t="s">
        <v>481</v>
      </c>
      <c r="F652" s="5">
        <v>4</v>
      </c>
      <c r="G652" s="5">
        <v>0</v>
      </c>
      <c r="H652" s="1">
        <v>1.85</v>
      </c>
      <c r="I652" s="1">
        <v>3.45</v>
      </c>
      <c r="J652" s="1">
        <v>3.35</v>
      </c>
      <c r="K652" s="6">
        <f>+H652-J652</f>
        <v>-1.5</v>
      </c>
      <c r="L652" s="7" t="str">
        <f>IF(F652-G652&gt;0,"Win","Loss")</f>
        <v>Win</v>
      </c>
      <c r="M652" s="14">
        <f t="shared" si="18"/>
        <v>42.5</v>
      </c>
      <c r="N652" s="14">
        <f t="shared" si="19"/>
        <v>50</v>
      </c>
    </row>
    <row r="653" spans="1:14" ht="12.75" x14ac:dyDescent="0.2">
      <c r="A653" s="1" t="s">
        <v>1010</v>
      </c>
      <c r="B653" s="3" t="s">
        <v>1011</v>
      </c>
      <c r="C653" s="4">
        <v>43484</v>
      </c>
      <c r="D653" s="2">
        <v>0.79166666666666663</v>
      </c>
      <c r="E653" s="1" t="s">
        <v>482</v>
      </c>
      <c r="F653" s="5">
        <v>4</v>
      </c>
      <c r="G653" s="5">
        <v>0</v>
      </c>
      <c r="H653" s="1">
        <v>2.2000000000000002</v>
      </c>
      <c r="I653" s="1">
        <v>3.6</v>
      </c>
      <c r="J653" s="1">
        <v>2.5499999999999998</v>
      </c>
      <c r="K653" s="6">
        <f>+H653-J653</f>
        <v>-0.34999999999999964</v>
      </c>
      <c r="L653" s="7" t="str">
        <f>IF(F653-G653&gt;0,"Win","Loss")</f>
        <v>Win</v>
      </c>
      <c r="M653" s="14">
        <f t="shared" si="18"/>
        <v>60.000000000000014</v>
      </c>
      <c r="N653" s="14">
        <f t="shared" si="19"/>
        <v>50</v>
      </c>
    </row>
    <row r="654" spans="1:14" ht="12.75" x14ac:dyDescent="0.2">
      <c r="A654" s="1" t="s">
        <v>1010</v>
      </c>
      <c r="B654" s="3" t="s">
        <v>1011</v>
      </c>
      <c r="C654" s="4">
        <v>43485</v>
      </c>
      <c r="D654" s="2">
        <v>0.58333333333333337</v>
      </c>
      <c r="E654" s="1" t="s">
        <v>476</v>
      </c>
      <c r="F654" s="5">
        <v>0</v>
      </c>
      <c r="G654" s="5">
        <v>0</v>
      </c>
      <c r="H654" s="1">
        <v>2.75</v>
      </c>
      <c r="I654" s="1">
        <v>3.6</v>
      </c>
      <c r="J654" s="1">
        <v>2.08</v>
      </c>
      <c r="K654" s="6">
        <f>+H654-J654</f>
        <v>0.66999999999999993</v>
      </c>
      <c r="L654" s="7" t="str">
        <f>IF(F654-G654&gt;0,"Win","Loss")</f>
        <v>Loss</v>
      </c>
      <c r="M654" s="14">
        <f t="shared" ref="M654:M717" si="20">IF(L654="Win",(H654*N654)-N654,-N654)</f>
        <v>-50</v>
      </c>
      <c r="N654" s="14">
        <f t="shared" ref="N654:N717" si="21">+$M$1</f>
        <v>50</v>
      </c>
    </row>
    <row r="655" spans="1:14" ht="12.75" x14ac:dyDescent="0.2">
      <c r="A655" s="1" t="s">
        <v>1010</v>
      </c>
      <c r="B655" s="3" t="s">
        <v>1011</v>
      </c>
      <c r="C655" s="4">
        <v>43485</v>
      </c>
      <c r="D655" s="2">
        <v>0.58333333333333337</v>
      </c>
      <c r="E655" s="1" t="s">
        <v>477</v>
      </c>
      <c r="F655" s="5">
        <v>1</v>
      </c>
      <c r="G655" s="5">
        <v>1</v>
      </c>
      <c r="H655" s="1">
        <v>3.05</v>
      </c>
      <c r="I655" s="1">
        <v>3.4</v>
      </c>
      <c r="J655" s="1">
        <v>2</v>
      </c>
      <c r="K655" s="6">
        <f>+H655-J655</f>
        <v>1.0499999999999998</v>
      </c>
      <c r="L655" s="7" t="str">
        <f>IF(F655-G655&gt;0,"Win","Loss")</f>
        <v>Loss</v>
      </c>
      <c r="M655" s="14">
        <f t="shared" si="20"/>
        <v>-50</v>
      </c>
      <c r="N655" s="14">
        <f t="shared" si="21"/>
        <v>50</v>
      </c>
    </row>
    <row r="656" spans="1:14" ht="12.75" x14ac:dyDescent="0.2">
      <c r="A656" s="1" t="s">
        <v>1010</v>
      </c>
      <c r="B656" s="3" t="s">
        <v>1011</v>
      </c>
      <c r="C656" s="4">
        <v>43485</v>
      </c>
      <c r="D656" s="2">
        <v>0.58333333333333337</v>
      </c>
      <c r="E656" s="1" t="s">
        <v>478</v>
      </c>
      <c r="F656" s="5">
        <v>1</v>
      </c>
      <c r="G656" s="5">
        <v>1</v>
      </c>
      <c r="H656" s="1">
        <v>2.2000000000000002</v>
      </c>
      <c r="I656" s="1">
        <v>3.4</v>
      </c>
      <c r="J656" s="1">
        <v>2.65</v>
      </c>
      <c r="K656" s="6">
        <f>+H656-J656</f>
        <v>-0.44999999999999973</v>
      </c>
      <c r="L656" s="7" t="str">
        <f>IF(F656-G656&gt;0,"Win","Loss")</f>
        <v>Loss</v>
      </c>
      <c r="M656" s="14">
        <f t="shared" si="20"/>
        <v>-50</v>
      </c>
      <c r="N656" s="14">
        <f t="shared" si="21"/>
        <v>50</v>
      </c>
    </row>
    <row r="657" spans="1:14" ht="12.75" x14ac:dyDescent="0.2">
      <c r="A657" s="1" t="s">
        <v>1010</v>
      </c>
      <c r="B657" s="3" t="s">
        <v>1011</v>
      </c>
      <c r="C657" s="4">
        <v>43485</v>
      </c>
      <c r="D657" s="2">
        <v>0.58333333333333337</v>
      </c>
      <c r="E657" s="1" t="s">
        <v>479</v>
      </c>
      <c r="F657" s="5">
        <v>2</v>
      </c>
      <c r="G657" s="5">
        <v>1</v>
      </c>
      <c r="H657" s="1">
        <v>2.2000000000000002</v>
      </c>
      <c r="I657" s="1">
        <v>3.4</v>
      </c>
      <c r="J657" s="1">
        <v>2.65</v>
      </c>
      <c r="K657" s="6">
        <f>+H657-J657</f>
        <v>-0.44999999999999973</v>
      </c>
      <c r="L657" s="7" t="str">
        <f>IF(F657-G657&gt;0,"Win","Loss")</f>
        <v>Win</v>
      </c>
      <c r="M657" s="14">
        <f t="shared" si="20"/>
        <v>60.000000000000014</v>
      </c>
      <c r="N657" s="14">
        <f t="shared" si="21"/>
        <v>50</v>
      </c>
    </row>
    <row r="658" spans="1:14" ht="12.75" x14ac:dyDescent="0.2">
      <c r="A658" s="1" t="s">
        <v>1010</v>
      </c>
      <c r="B658" s="3" t="s">
        <v>1011</v>
      </c>
      <c r="C658" s="4">
        <v>43485</v>
      </c>
      <c r="D658" s="2">
        <v>0.5625</v>
      </c>
      <c r="E658" s="1" t="s">
        <v>480</v>
      </c>
      <c r="F658" s="5">
        <v>0</v>
      </c>
      <c r="G658" s="5">
        <v>1</v>
      </c>
      <c r="H658" s="1">
        <v>3.3</v>
      </c>
      <c r="I658" s="1">
        <v>3.6</v>
      </c>
      <c r="J658" s="1">
        <v>1.85</v>
      </c>
      <c r="K658" s="6">
        <f>+H658-J658</f>
        <v>1.4499999999999997</v>
      </c>
      <c r="L658" s="7" t="str">
        <f>IF(F658-G658&gt;0,"Win","Loss")</f>
        <v>Loss</v>
      </c>
      <c r="M658" s="14">
        <f t="shared" si="20"/>
        <v>-50</v>
      </c>
      <c r="N658" s="14">
        <f t="shared" si="21"/>
        <v>50</v>
      </c>
    </row>
    <row r="659" spans="1:14" ht="12.75" x14ac:dyDescent="0.2">
      <c r="A659" s="1" t="s">
        <v>1014</v>
      </c>
      <c r="B659" s="3" t="s">
        <v>1015</v>
      </c>
      <c r="C659" s="4">
        <v>43485</v>
      </c>
      <c r="D659" s="2">
        <v>0.66666666666666663</v>
      </c>
      <c r="E659" s="1" t="s">
        <v>542</v>
      </c>
      <c r="F659" s="5">
        <v>2</v>
      </c>
      <c r="G659" s="5">
        <v>0</v>
      </c>
      <c r="H659" s="1">
        <v>1.44</v>
      </c>
      <c r="I659" s="1">
        <v>4.16</v>
      </c>
      <c r="J659" s="1">
        <v>6.72</v>
      </c>
      <c r="K659" s="6">
        <f>+H659-J659</f>
        <v>-5.2799999999999994</v>
      </c>
      <c r="L659" s="7" t="str">
        <f>IF(F659-G659&gt;0,"Win","Loss")</f>
        <v>Win</v>
      </c>
      <c r="M659" s="14">
        <f t="shared" si="20"/>
        <v>22</v>
      </c>
      <c r="N659" s="14">
        <f t="shared" si="21"/>
        <v>50</v>
      </c>
    </row>
    <row r="660" spans="1:14" ht="12.75" x14ac:dyDescent="0.2">
      <c r="A660" s="1" t="s">
        <v>1014</v>
      </c>
      <c r="B660" s="3" t="s">
        <v>1015</v>
      </c>
      <c r="C660" s="4">
        <v>43486</v>
      </c>
      <c r="D660" s="2">
        <v>0.70833333333333337</v>
      </c>
      <c r="E660" s="1" t="s">
        <v>577</v>
      </c>
      <c r="F660" s="5">
        <v>0</v>
      </c>
      <c r="G660" s="5">
        <v>5</v>
      </c>
      <c r="H660" s="1">
        <v>5.18</v>
      </c>
      <c r="I660" s="1">
        <v>3.99</v>
      </c>
      <c r="J660" s="1">
        <v>1.57</v>
      </c>
      <c r="K660" s="6">
        <f>+H660-J660</f>
        <v>3.6099999999999994</v>
      </c>
      <c r="L660" s="7" t="str">
        <f>IF(F660-G660&gt;0,"Win","Loss")</f>
        <v>Loss</v>
      </c>
      <c r="M660" s="14">
        <f t="shared" si="20"/>
        <v>-50</v>
      </c>
      <c r="N660" s="14">
        <f t="shared" si="21"/>
        <v>50</v>
      </c>
    </row>
    <row r="661" spans="1:14" ht="12.75" x14ac:dyDescent="0.2">
      <c r="A661" s="1" t="s">
        <v>1026</v>
      </c>
      <c r="B661" s="3" t="s">
        <v>1028</v>
      </c>
      <c r="C661" s="4">
        <v>43487</v>
      </c>
      <c r="D661" s="2">
        <v>0.82291666666666663</v>
      </c>
      <c r="E661" s="1" t="s">
        <v>878</v>
      </c>
      <c r="F661" s="5">
        <v>3</v>
      </c>
      <c r="G661" s="5">
        <v>0</v>
      </c>
      <c r="H661" s="1">
        <v>1.96</v>
      </c>
      <c r="I661" s="1">
        <v>3.22</v>
      </c>
      <c r="J661" s="1">
        <v>4.05</v>
      </c>
      <c r="K661" s="6">
        <f>+H661-J661</f>
        <v>-2.09</v>
      </c>
      <c r="L661" s="7" t="str">
        <f>IF(F661-G661&gt;0,"Win","Loss")</f>
        <v>Win</v>
      </c>
      <c r="M661" s="14">
        <f t="shared" si="20"/>
        <v>48</v>
      </c>
      <c r="N661" s="14">
        <f t="shared" si="21"/>
        <v>50</v>
      </c>
    </row>
    <row r="662" spans="1:14" ht="12.75" x14ac:dyDescent="0.2">
      <c r="A662" s="1" t="s">
        <v>1026</v>
      </c>
      <c r="B662" s="3" t="s">
        <v>1028</v>
      </c>
      <c r="C662" s="4">
        <v>43487</v>
      </c>
      <c r="D662" s="2">
        <v>0.82291666666666663</v>
      </c>
      <c r="E662" s="1" t="s">
        <v>879</v>
      </c>
      <c r="F662" s="5">
        <v>5</v>
      </c>
      <c r="G662" s="5">
        <v>2</v>
      </c>
      <c r="H662" s="1">
        <v>2.57</v>
      </c>
      <c r="I662" s="1">
        <v>3.59</v>
      </c>
      <c r="J662" s="1">
        <v>2.48</v>
      </c>
      <c r="K662" s="6">
        <f>+H662-J662</f>
        <v>8.9999999999999858E-2</v>
      </c>
      <c r="L662" s="7" t="str">
        <f>IF(F662-G662&gt;0,"Win","Loss")</f>
        <v>Win</v>
      </c>
      <c r="M662" s="14">
        <f t="shared" si="20"/>
        <v>78.5</v>
      </c>
      <c r="N662" s="14">
        <f t="shared" si="21"/>
        <v>50</v>
      </c>
    </row>
    <row r="663" spans="1:14" ht="12.75" x14ac:dyDescent="0.2">
      <c r="A663" s="1" t="s">
        <v>1026</v>
      </c>
      <c r="B663" s="3" t="s">
        <v>1028</v>
      </c>
      <c r="C663" s="4">
        <v>43487</v>
      </c>
      <c r="D663" s="2">
        <v>0.82291666666666663</v>
      </c>
      <c r="E663" s="1" t="s">
        <v>880</v>
      </c>
      <c r="F663" s="5">
        <v>2</v>
      </c>
      <c r="G663" s="5">
        <v>0</v>
      </c>
      <c r="H663" s="1">
        <v>1.34</v>
      </c>
      <c r="I663" s="1">
        <v>5.33</v>
      </c>
      <c r="J663" s="1">
        <v>7.12</v>
      </c>
      <c r="K663" s="6">
        <f>+H663-J663</f>
        <v>-5.78</v>
      </c>
      <c r="L663" s="7" t="str">
        <f>IF(F663-G663&gt;0,"Win","Loss")</f>
        <v>Win</v>
      </c>
      <c r="M663" s="14">
        <f t="shared" si="20"/>
        <v>17</v>
      </c>
      <c r="N663" s="14">
        <f t="shared" si="21"/>
        <v>50</v>
      </c>
    </row>
    <row r="664" spans="1:14" ht="12.75" x14ac:dyDescent="0.2">
      <c r="A664" s="1" t="s">
        <v>1026</v>
      </c>
      <c r="B664" s="3" t="s">
        <v>1028</v>
      </c>
      <c r="C664" s="4">
        <v>43487</v>
      </c>
      <c r="D664" s="2">
        <v>0.79166666666666663</v>
      </c>
      <c r="E664" s="1" t="s">
        <v>881</v>
      </c>
      <c r="F664" s="5">
        <v>1</v>
      </c>
      <c r="G664" s="5">
        <v>0</v>
      </c>
      <c r="H664" s="1">
        <v>3</v>
      </c>
      <c r="I664" s="1">
        <v>3.56</v>
      </c>
      <c r="J664" s="1">
        <v>2.19</v>
      </c>
      <c r="K664" s="6">
        <f>+H664-J664</f>
        <v>0.81</v>
      </c>
      <c r="L664" s="7" t="str">
        <f>IF(F664-G664&gt;0,"Win","Loss")</f>
        <v>Win</v>
      </c>
      <c r="M664" s="14">
        <f t="shared" si="20"/>
        <v>100</v>
      </c>
      <c r="N664" s="14">
        <f t="shared" si="21"/>
        <v>50</v>
      </c>
    </row>
    <row r="665" spans="1:14" ht="12.75" x14ac:dyDescent="0.2">
      <c r="A665" s="1" t="s">
        <v>996</v>
      </c>
      <c r="B665" s="3" t="s">
        <v>997</v>
      </c>
      <c r="C665" s="4">
        <v>43490</v>
      </c>
      <c r="D665" s="2">
        <v>0.66666666666666663</v>
      </c>
      <c r="E665" s="1" t="s">
        <v>97</v>
      </c>
      <c r="F665" s="5">
        <v>0</v>
      </c>
      <c r="G665" s="5">
        <v>1</v>
      </c>
      <c r="H665" s="1">
        <v>2.72</v>
      </c>
      <c r="I665" s="1">
        <v>2.7</v>
      </c>
      <c r="J665" s="1">
        <v>2.67</v>
      </c>
      <c r="K665" s="6">
        <f>+H665-J665</f>
        <v>5.0000000000000266E-2</v>
      </c>
      <c r="L665" s="7" t="str">
        <f>IF(F665-G665&gt;0,"Win","Loss")</f>
        <v>Loss</v>
      </c>
      <c r="M665" s="14">
        <f t="shared" si="20"/>
        <v>-50</v>
      </c>
      <c r="N665" s="14">
        <f t="shared" si="21"/>
        <v>50</v>
      </c>
    </row>
    <row r="666" spans="1:14" ht="12.75" x14ac:dyDescent="0.2">
      <c r="A666" s="1" t="s">
        <v>996</v>
      </c>
      <c r="B666" s="3" t="s">
        <v>997</v>
      </c>
      <c r="C666" s="4">
        <v>43491</v>
      </c>
      <c r="D666" s="2">
        <v>0.54166666666666663</v>
      </c>
      <c r="E666" s="1" t="s">
        <v>96</v>
      </c>
      <c r="F666" s="5">
        <v>0</v>
      </c>
      <c r="G666" s="5">
        <v>0</v>
      </c>
      <c r="H666" s="1">
        <v>2</v>
      </c>
      <c r="I666" s="1">
        <v>2.83</v>
      </c>
      <c r="J666" s="1">
        <v>4.0999999999999996</v>
      </c>
      <c r="K666" s="6">
        <f>+H666-J666</f>
        <v>-2.0999999999999996</v>
      </c>
      <c r="L666" s="7" t="str">
        <f>IF(F666-G666&gt;0,"Win","Loss")</f>
        <v>Loss</v>
      </c>
      <c r="M666" s="14">
        <f t="shared" si="20"/>
        <v>-50</v>
      </c>
      <c r="N666" s="14">
        <f t="shared" si="21"/>
        <v>50</v>
      </c>
    </row>
    <row r="667" spans="1:14" ht="12.75" x14ac:dyDescent="0.2">
      <c r="A667" s="1" t="s">
        <v>1010</v>
      </c>
      <c r="B667" s="3" t="s">
        <v>1011</v>
      </c>
      <c r="C667" s="4">
        <v>43491</v>
      </c>
      <c r="D667" s="2">
        <v>0.77083333333333337</v>
      </c>
      <c r="E667" s="1" t="s">
        <v>475</v>
      </c>
      <c r="F667" s="5">
        <v>2</v>
      </c>
      <c r="G667" s="5">
        <v>1</v>
      </c>
      <c r="H667" s="1">
        <v>1.2</v>
      </c>
      <c r="I667" s="1">
        <v>5.0999999999999996</v>
      </c>
      <c r="J667" s="1">
        <v>8.5</v>
      </c>
      <c r="K667" s="6">
        <f>+H667-J667</f>
        <v>-7.3</v>
      </c>
      <c r="L667" s="7" t="str">
        <f>IF(F667-G667&gt;0,"Win","Loss")</f>
        <v>Win</v>
      </c>
      <c r="M667" s="14">
        <f t="shared" si="20"/>
        <v>10</v>
      </c>
      <c r="N667" s="14">
        <f t="shared" si="21"/>
        <v>50</v>
      </c>
    </row>
    <row r="668" spans="1:14" ht="12.75" x14ac:dyDescent="0.2">
      <c r="A668" s="1" t="s">
        <v>1014</v>
      </c>
      <c r="B668" s="3" t="s">
        <v>1015</v>
      </c>
      <c r="C668" s="4">
        <v>43491</v>
      </c>
      <c r="D668" s="2">
        <v>0.70833333333333337</v>
      </c>
      <c r="E668" s="1" t="s">
        <v>574</v>
      </c>
      <c r="F668" s="5">
        <v>1</v>
      </c>
      <c r="G668" s="5">
        <v>0</v>
      </c>
      <c r="H668" s="1">
        <v>3.2</v>
      </c>
      <c r="I668" s="1">
        <v>3.5</v>
      </c>
      <c r="J668" s="1">
        <v>2.0499999999999998</v>
      </c>
      <c r="K668" s="6">
        <f>+H668-J668</f>
        <v>1.1500000000000004</v>
      </c>
      <c r="L668" s="7" t="str">
        <f>IF(F668-G668&gt;0,"Win","Loss")</f>
        <v>Win</v>
      </c>
      <c r="M668" s="14">
        <f t="shared" si="20"/>
        <v>110</v>
      </c>
      <c r="N668" s="14">
        <f t="shared" si="21"/>
        <v>50</v>
      </c>
    </row>
    <row r="669" spans="1:14" ht="12.75" x14ac:dyDescent="0.2">
      <c r="A669" s="1" t="s">
        <v>1014</v>
      </c>
      <c r="B669" s="3" t="s">
        <v>1015</v>
      </c>
      <c r="C669" s="4">
        <v>43491</v>
      </c>
      <c r="D669" s="2">
        <v>0.66666666666666663</v>
      </c>
      <c r="E669" s="1" t="s">
        <v>575</v>
      </c>
      <c r="F669" s="5">
        <v>2</v>
      </c>
      <c r="G669" s="5">
        <v>0</v>
      </c>
      <c r="H669" s="1">
        <v>1.17</v>
      </c>
      <c r="I669" s="1">
        <v>6.77</v>
      </c>
      <c r="J669" s="1">
        <v>12.95</v>
      </c>
      <c r="K669" s="6">
        <f>+H669-J669</f>
        <v>-11.78</v>
      </c>
      <c r="L669" s="7" t="str">
        <f>IF(F669-G669&gt;0,"Win","Loss")</f>
        <v>Win</v>
      </c>
      <c r="M669" s="14">
        <f t="shared" si="20"/>
        <v>8.5</v>
      </c>
      <c r="N669" s="14">
        <f t="shared" si="21"/>
        <v>50</v>
      </c>
    </row>
    <row r="670" spans="1:14" ht="12.75" x14ac:dyDescent="0.2">
      <c r="A670" s="1" t="s">
        <v>1014</v>
      </c>
      <c r="B670" s="3" t="s">
        <v>1015</v>
      </c>
      <c r="C670" s="4">
        <v>43491</v>
      </c>
      <c r="D670" s="2">
        <v>0.625</v>
      </c>
      <c r="E670" s="1" t="s">
        <v>576</v>
      </c>
      <c r="F670" s="5">
        <v>1</v>
      </c>
      <c r="G670" s="5">
        <v>0</v>
      </c>
      <c r="H670" s="1">
        <v>2.17</v>
      </c>
      <c r="I670" s="1">
        <v>3.44</v>
      </c>
      <c r="J670" s="1">
        <v>3.03</v>
      </c>
      <c r="K670" s="6">
        <f>+H670-J670</f>
        <v>-0.85999999999999988</v>
      </c>
      <c r="L670" s="7" t="str">
        <f>IF(F670-G670&gt;0,"Win","Loss")</f>
        <v>Win</v>
      </c>
      <c r="M670" s="14">
        <f t="shared" si="20"/>
        <v>58.5</v>
      </c>
      <c r="N670" s="14">
        <f t="shared" si="21"/>
        <v>50</v>
      </c>
    </row>
    <row r="671" spans="1:14" ht="12.75" x14ac:dyDescent="0.2">
      <c r="A671" s="1" t="s">
        <v>996</v>
      </c>
      <c r="B671" s="3" t="s">
        <v>997</v>
      </c>
      <c r="C671" s="4">
        <v>43492</v>
      </c>
      <c r="D671" s="2">
        <v>0.66666666666666663</v>
      </c>
      <c r="E671" s="1" t="s">
        <v>93</v>
      </c>
      <c r="F671" s="5">
        <v>4</v>
      </c>
      <c r="G671" s="5">
        <v>1</v>
      </c>
      <c r="H671" s="1">
        <v>1.88</v>
      </c>
      <c r="I671" s="1">
        <v>3.02</v>
      </c>
      <c r="J671" s="1">
        <v>4.0999999999999996</v>
      </c>
      <c r="K671" s="6">
        <f>+H671-J671</f>
        <v>-2.2199999999999998</v>
      </c>
      <c r="L671" s="7" t="str">
        <f>IF(F671-G671&gt;0,"Win","Loss")</f>
        <v>Win</v>
      </c>
      <c r="M671" s="14">
        <f t="shared" si="20"/>
        <v>44</v>
      </c>
      <c r="N671" s="14">
        <f t="shared" si="21"/>
        <v>50</v>
      </c>
    </row>
    <row r="672" spans="1:14" ht="12.75" x14ac:dyDescent="0.2">
      <c r="A672" s="1" t="s">
        <v>996</v>
      </c>
      <c r="B672" s="3" t="s">
        <v>997</v>
      </c>
      <c r="C672" s="4">
        <v>43492</v>
      </c>
      <c r="D672" s="2">
        <v>0.66666666666666663</v>
      </c>
      <c r="E672" s="1" t="s">
        <v>94</v>
      </c>
      <c r="F672" s="5">
        <v>1</v>
      </c>
      <c r="G672" s="5">
        <v>1</v>
      </c>
      <c r="H672" s="1">
        <v>1.61</v>
      </c>
      <c r="I672" s="1">
        <v>3.26</v>
      </c>
      <c r="J672" s="1">
        <v>5.72</v>
      </c>
      <c r="K672" s="6">
        <f>+H672-J672</f>
        <v>-4.1099999999999994</v>
      </c>
      <c r="L672" s="7" t="str">
        <f>IF(F672-G672&gt;0,"Win","Loss")</f>
        <v>Loss</v>
      </c>
      <c r="M672" s="14">
        <f t="shared" si="20"/>
        <v>-50</v>
      </c>
      <c r="N672" s="14">
        <f t="shared" si="21"/>
        <v>50</v>
      </c>
    </row>
    <row r="673" spans="1:14" ht="12.75" x14ac:dyDescent="0.2">
      <c r="A673" s="1" t="s">
        <v>996</v>
      </c>
      <c r="B673" s="3" t="s">
        <v>997</v>
      </c>
      <c r="C673" s="4">
        <v>43492</v>
      </c>
      <c r="D673" s="2">
        <v>0.54166666666666663</v>
      </c>
      <c r="E673" s="1" t="s">
        <v>95</v>
      </c>
      <c r="F673" s="5">
        <v>1</v>
      </c>
      <c r="G673" s="5">
        <v>5</v>
      </c>
      <c r="H673" s="1">
        <v>1.93</v>
      </c>
      <c r="I673" s="1">
        <v>3.02</v>
      </c>
      <c r="J673" s="1">
        <v>3.82</v>
      </c>
      <c r="K673" s="6">
        <f>+H673-J673</f>
        <v>-1.89</v>
      </c>
      <c r="L673" s="7" t="str">
        <f>IF(F673-G673&gt;0,"Win","Loss")</f>
        <v>Loss</v>
      </c>
      <c r="M673" s="14">
        <f t="shared" si="20"/>
        <v>-50</v>
      </c>
      <c r="N673" s="14">
        <f t="shared" si="21"/>
        <v>50</v>
      </c>
    </row>
    <row r="674" spans="1:14" ht="12.75" x14ac:dyDescent="0.2">
      <c r="A674" s="1" t="s">
        <v>1010</v>
      </c>
      <c r="B674" s="3" t="s">
        <v>1011</v>
      </c>
      <c r="C674" s="4">
        <v>43492</v>
      </c>
      <c r="D674" s="2">
        <v>0.58333333333333337</v>
      </c>
      <c r="E674" s="1" t="s">
        <v>469</v>
      </c>
      <c r="F674" s="5">
        <v>0</v>
      </c>
      <c r="G674" s="5">
        <v>4</v>
      </c>
      <c r="H674" s="1">
        <v>3.3</v>
      </c>
      <c r="I674" s="1">
        <v>3.6</v>
      </c>
      <c r="J674" s="1">
        <v>1.8</v>
      </c>
      <c r="K674" s="6">
        <f>+H674-J674</f>
        <v>1.4999999999999998</v>
      </c>
      <c r="L674" s="7" t="str">
        <f>IF(F674-G674&gt;0,"Win","Loss")</f>
        <v>Loss</v>
      </c>
      <c r="M674" s="14">
        <f t="shared" si="20"/>
        <v>-50</v>
      </c>
      <c r="N674" s="14">
        <f t="shared" si="21"/>
        <v>50</v>
      </c>
    </row>
    <row r="675" spans="1:14" ht="12.75" x14ac:dyDescent="0.2">
      <c r="A675" s="1" t="s">
        <v>1010</v>
      </c>
      <c r="B675" s="3" t="s">
        <v>1011</v>
      </c>
      <c r="C675" s="4">
        <v>43492</v>
      </c>
      <c r="D675" s="2">
        <v>0.58333333333333337</v>
      </c>
      <c r="E675" s="1" t="s">
        <v>470</v>
      </c>
      <c r="F675" s="5">
        <v>2</v>
      </c>
      <c r="G675" s="5">
        <v>0</v>
      </c>
      <c r="H675" s="1">
        <v>1.25</v>
      </c>
      <c r="I675" s="1">
        <v>5.0999999999999996</v>
      </c>
      <c r="J675" s="1">
        <v>6.75</v>
      </c>
      <c r="K675" s="6">
        <f>+H675-J675</f>
        <v>-5.5</v>
      </c>
      <c r="L675" s="7" t="str">
        <f>IF(F675-G675&gt;0,"Win","Loss")</f>
        <v>Win</v>
      </c>
      <c r="M675" s="14">
        <f t="shared" si="20"/>
        <v>12.5</v>
      </c>
      <c r="N675" s="14">
        <f t="shared" si="21"/>
        <v>50</v>
      </c>
    </row>
    <row r="676" spans="1:14" ht="12.75" x14ac:dyDescent="0.2">
      <c r="A676" s="1" t="s">
        <v>1010</v>
      </c>
      <c r="B676" s="3" t="s">
        <v>1011</v>
      </c>
      <c r="C676" s="4">
        <v>43492</v>
      </c>
      <c r="D676" s="2">
        <v>0.58333333333333337</v>
      </c>
      <c r="E676" s="1" t="s">
        <v>471</v>
      </c>
      <c r="F676" s="5">
        <v>1</v>
      </c>
      <c r="G676" s="5">
        <v>3</v>
      </c>
      <c r="H676" s="1">
        <v>2.2000000000000002</v>
      </c>
      <c r="I676" s="1">
        <v>3.3</v>
      </c>
      <c r="J676" s="1">
        <v>2.75</v>
      </c>
      <c r="K676" s="6">
        <f>+H676-J676</f>
        <v>-0.54999999999999982</v>
      </c>
      <c r="L676" s="7" t="str">
        <f>IF(F676-G676&gt;0,"Win","Loss")</f>
        <v>Loss</v>
      </c>
      <c r="M676" s="14">
        <f t="shared" si="20"/>
        <v>-50</v>
      </c>
      <c r="N676" s="14">
        <f t="shared" si="21"/>
        <v>50</v>
      </c>
    </row>
    <row r="677" spans="1:14" ht="12.75" x14ac:dyDescent="0.2">
      <c r="A677" s="1" t="s">
        <v>1010</v>
      </c>
      <c r="B677" s="3" t="s">
        <v>1011</v>
      </c>
      <c r="C677" s="4">
        <v>43492</v>
      </c>
      <c r="D677" s="2">
        <v>0.58333333333333337</v>
      </c>
      <c r="E677" s="1" t="s">
        <v>472</v>
      </c>
      <c r="F677" s="5">
        <v>2</v>
      </c>
      <c r="G677" s="5">
        <v>0</v>
      </c>
      <c r="H677" s="1">
        <v>2.4300000000000002</v>
      </c>
      <c r="I677" s="1">
        <v>3.4</v>
      </c>
      <c r="J677" s="1">
        <v>2.38</v>
      </c>
      <c r="K677" s="6">
        <f>+H677-J677</f>
        <v>5.0000000000000266E-2</v>
      </c>
      <c r="L677" s="7" t="str">
        <f>IF(F677-G677&gt;0,"Win","Loss")</f>
        <v>Win</v>
      </c>
      <c r="M677" s="14">
        <f t="shared" si="20"/>
        <v>71.500000000000014</v>
      </c>
      <c r="N677" s="14">
        <f t="shared" si="21"/>
        <v>50</v>
      </c>
    </row>
    <row r="678" spans="1:14" ht="12.75" x14ac:dyDescent="0.2">
      <c r="A678" s="1" t="s">
        <v>1010</v>
      </c>
      <c r="B678" s="3" t="s">
        <v>1011</v>
      </c>
      <c r="C678" s="4">
        <v>43492</v>
      </c>
      <c r="D678" s="2">
        <v>0.5625</v>
      </c>
      <c r="E678" s="1" t="s">
        <v>473</v>
      </c>
      <c r="F678" s="5">
        <v>0</v>
      </c>
      <c r="G678" s="5">
        <v>1</v>
      </c>
      <c r="H678" s="1">
        <v>4.5</v>
      </c>
      <c r="I678" s="1">
        <v>3.8</v>
      </c>
      <c r="J678" s="1">
        <v>1.55</v>
      </c>
      <c r="K678" s="6">
        <f>+H678-J678</f>
        <v>2.95</v>
      </c>
      <c r="L678" s="7" t="str">
        <f>IF(F678-G678&gt;0,"Win","Loss")</f>
        <v>Loss</v>
      </c>
      <c r="M678" s="14">
        <f t="shared" si="20"/>
        <v>-50</v>
      </c>
      <c r="N678" s="14">
        <f t="shared" si="21"/>
        <v>50</v>
      </c>
    </row>
    <row r="679" spans="1:14" ht="12.75" x14ac:dyDescent="0.2">
      <c r="A679" s="1" t="s">
        <v>1010</v>
      </c>
      <c r="B679" s="3" t="s">
        <v>1011</v>
      </c>
      <c r="C679" s="4">
        <v>43492</v>
      </c>
      <c r="D679" s="2">
        <v>0.5625</v>
      </c>
      <c r="E679" s="1" t="s">
        <v>474</v>
      </c>
      <c r="F679" s="5">
        <v>1</v>
      </c>
      <c r="G679" s="5">
        <v>1</v>
      </c>
      <c r="H679" s="1">
        <v>1.65</v>
      </c>
      <c r="I679" s="1">
        <v>3.7</v>
      </c>
      <c r="J679" s="1">
        <v>3.85</v>
      </c>
      <c r="K679" s="6">
        <f>+H679-J679</f>
        <v>-2.2000000000000002</v>
      </c>
      <c r="L679" s="7" t="str">
        <f>IF(F679-G679&gt;0,"Win","Loss")</f>
        <v>Loss</v>
      </c>
      <c r="M679" s="14">
        <f t="shared" si="20"/>
        <v>-50</v>
      </c>
      <c r="N679" s="14">
        <f t="shared" si="21"/>
        <v>50</v>
      </c>
    </row>
    <row r="680" spans="1:14" ht="12.75" x14ac:dyDescent="0.2">
      <c r="A680" s="1" t="s">
        <v>1014</v>
      </c>
      <c r="B680" s="3" t="s">
        <v>1015</v>
      </c>
      <c r="C680" s="4">
        <v>43492</v>
      </c>
      <c r="D680" s="2">
        <v>0.66666666666666663</v>
      </c>
      <c r="E680" s="1" t="s">
        <v>572</v>
      </c>
      <c r="F680" s="5">
        <v>1</v>
      </c>
      <c r="G680" s="5">
        <v>2</v>
      </c>
      <c r="H680" s="1">
        <v>3.14</v>
      </c>
      <c r="I680" s="1">
        <v>3.55</v>
      </c>
      <c r="J680" s="1">
        <v>2.08</v>
      </c>
      <c r="K680" s="6">
        <f>+H680-J680</f>
        <v>1.06</v>
      </c>
      <c r="L680" s="7" t="str">
        <f>IF(F680-G680&gt;0,"Win","Loss")</f>
        <v>Loss</v>
      </c>
      <c r="M680" s="14">
        <f t="shared" si="20"/>
        <v>-50</v>
      </c>
      <c r="N680" s="14">
        <f t="shared" si="21"/>
        <v>50</v>
      </c>
    </row>
    <row r="681" spans="1:14" ht="12.75" x14ac:dyDescent="0.2">
      <c r="A681" s="1" t="s">
        <v>1014</v>
      </c>
      <c r="B681" s="3" t="s">
        <v>1015</v>
      </c>
      <c r="C681" s="4">
        <v>43492</v>
      </c>
      <c r="D681" s="2">
        <v>0.58333333333333337</v>
      </c>
      <c r="E681" s="1" t="s">
        <v>573</v>
      </c>
      <c r="F681" s="5">
        <v>3</v>
      </c>
      <c r="G681" s="5">
        <v>0</v>
      </c>
      <c r="H681" s="1">
        <v>1.97</v>
      </c>
      <c r="I681" s="1">
        <v>3.33</v>
      </c>
      <c r="J681" s="1">
        <v>3.64</v>
      </c>
      <c r="K681" s="6">
        <f>+H681-J681</f>
        <v>-1.6700000000000002</v>
      </c>
      <c r="L681" s="7" t="str">
        <f>IF(F681-G681&gt;0,"Win","Loss")</f>
        <v>Win</v>
      </c>
      <c r="M681" s="14">
        <f t="shared" si="20"/>
        <v>48.5</v>
      </c>
      <c r="N681" s="14">
        <f t="shared" si="21"/>
        <v>50</v>
      </c>
    </row>
    <row r="682" spans="1:14" ht="12.75" x14ac:dyDescent="0.2">
      <c r="A682" s="1" t="s">
        <v>1014</v>
      </c>
      <c r="B682" s="3" t="s">
        <v>1015</v>
      </c>
      <c r="C682" s="4">
        <v>43493</v>
      </c>
      <c r="D682" s="2">
        <v>0.70833333333333337</v>
      </c>
      <c r="E682" s="1" t="s">
        <v>571</v>
      </c>
      <c r="F682" s="5">
        <v>0</v>
      </c>
      <c r="G682" s="5">
        <v>0</v>
      </c>
      <c r="H682" s="1">
        <v>1.08</v>
      </c>
      <c r="I682" s="1">
        <v>9.44</v>
      </c>
      <c r="J682" s="1">
        <v>20.72</v>
      </c>
      <c r="K682" s="6">
        <f>+H682-J682</f>
        <v>-19.64</v>
      </c>
      <c r="L682" s="7" t="str">
        <f>IF(F682-G682&gt;0,"Win","Loss")</f>
        <v>Loss</v>
      </c>
      <c r="M682" s="14">
        <f t="shared" si="20"/>
        <v>-50</v>
      </c>
      <c r="N682" s="14">
        <f t="shared" si="21"/>
        <v>50</v>
      </c>
    </row>
    <row r="683" spans="1:14" ht="12.75" x14ac:dyDescent="0.2">
      <c r="A683" s="1" t="s">
        <v>996</v>
      </c>
      <c r="B683" s="3" t="s">
        <v>997</v>
      </c>
      <c r="C683" s="4">
        <v>43497</v>
      </c>
      <c r="D683" s="2">
        <v>0.70833333333333337</v>
      </c>
      <c r="E683" s="1" t="s">
        <v>92</v>
      </c>
      <c r="F683" s="5">
        <v>1</v>
      </c>
      <c r="G683" s="5">
        <v>1</v>
      </c>
      <c r="H683" s="1">
        <v>3.12</v>
      </c>
      <c r="I683" s="1">
        <v>3.1</v>
      </c>
      <c r="J683" s="1">
        <v>2.41</v>
      </c>
      <c r="K683" s="6">
        <f>+H683-J683</f>
        <v>0.71</v>
      </c>
      <c r="L683" s="7" t="str">
        <f>IF(F683-G683&gt;0,"Win","Loss")</f>
        <v>Loss</v>
      </c>
      <c r="M683" s="14">
        <f t="shared" si="20"/>
        <v>-50</v>
      </c>
      <c r="N683" s="14">
        <f t="shared" si="21"/>
        <v>50</v>
      </c>
    </row>
    <row r="684" spans="1:14" ht="12.75" x14ac:dyDescent="0.2">
      <c r="A684" s="1" t="s">
        <v>993</v>
      </c>
      <c r="B684" s="3" t="s">
        <v>994</v>
      </c>
      <c r="C684" s="4">
        <v>43498</v>
      </c>
      <c r="D684" s="2">
        <v>0.77083333333333337</v>
      </c>
      <c r="E684" s="1" t="s">
        <v>21</v>
      </c>
      <c r="F684" s="5">
        <v>2</v>
      </c>
      <c r="G684" s="5">
        <v>0</v>
      </c>
      <c r="H684" s="1">
        <v>1.4</v>
      </c>
      <c r="I684" s="1">
        <v>4.21</v>
      </c>
      <c r="J684" s="1">
        <v>6.99</v>
      </c>
      <c r="K684" s="6">
        <f>+H684-J684</f>
        <v>-5.59</v>
      </c>
      <c r="L684" s="7" t="str">
        <f>IF(F684-G684&gt;0,"Win","Loss")</f>
        <v>Win</v>
      </c>
      <c r="M684" s="14">
        <f t="shared" si="20"/>
        <v>20</v>
      </c>
      <c r="N684" s="14">
        <f t="shared" si="21"/>
        <v>50</v>
      </c>
    </row>
    <row r="685" spans="1:14" ht="12.75" x14ac:dyDescent="0.2">
      <c r="A685" s="1" t="s">
        <v>993</v>
      </c>
      <c r="B685" s="3" t="s">
        <v>994</v>
      </c>
      <c r="C685" s="4">
        <v>43498</v>
      </c>
      <c r="D685" s="2">
        <v>0.64583333333333337</v>
      </c>
      <c r="E685" s="1" t="s">
        <v>22</v>
      </c>
      <c r="F685" s="5">
        <v>1</v>
      </c>
      <c r="G685" s="5">
        <v>1</v>
      </c>
      <c r="H685" s="1">
        <v>3.12</v>
      </c>
      <c r="I685" s="1">
        <v>3.23</v>
      </c>
      <c r="J685" s="1">
        <v>2.09</v>
      </c>
      <c r="K685" s="6">
        <f>+H685-J685</f>
        <v>1.0300000000000002</v>
      </c>
      <c r="L685" s="7" t="str">
        <f>IF(F685-G685&gt;0,"Win","Loss")</f>
        <v>Loss</v>
      </c>
      <c r="M685" s="14">
        <f t="shared" si="20"/>
        <v>-50</v>
      </c>
      <c r="N685" s="14">
        <f t="shared" si="21"/>
        <v>50</v>
      </c>
    </row>
    <row r="686" spans="1:14" ht="12.75" x14ac:dyDescent="0.2">
      <c r="A686" s="1" t="s">
        <v>996</v>
      </c>
      <c r="B686" s="3" t="s">
        <v>997</v>
      </c>
      <c r="C686" s="4">
        <v>43498</v>
      </c>
      <c r="D686" s="2">
        <v>0.66666666666666663</v>
      </c>
      <c r="E686" s="1" t="s">
        <v>91</v>
      </c>
      <c r="F686" s="5">
        <v>1</v>
      </c>
      <c r="G686" s="5">
        <v>2</v>
      </c>
      <c r="H686" s="1">
        <v>2.38</v>
      </c>
      <c r="I686" s="1">
        <v>2.88</v>
      </c>
      <c r="J686" s="1">
        <v>2.8</v>
      </c>
      <c r="K686" s="6">
        <f>+H686-J686</f>
        <v>-0.41999999999999993</v>
      </c>
      <c r="L686" s="7" t="str">
        <f>IF(F686-G686&gt;0,"Win","Loss")</f>
        <v>Loss</v>
      </c>
      <c r="M686" s="14">
        <f t="shared" si="20"/>
        <v>-50</v>
      </c>
      <c r="N686" s="14">
        <f t="shared" si="21"/>
        <v>50</v>
      </c>
    </row>
    <row r="687" spans="1:14" ht="12.75" x14ac:dyDescent="0.2">
      <c r="A687" s="1" t="s">
        <v>1014</v>
      </c>
      <c r="B687" s="3" t="s">
        <v>1015</v>
      </c>
      <c r="C687" s="4">
        <v>43498</v>
      </c>
      <c r="D687" s="2">
        <v>0.625</v>
      </c>
      <c r="E687" s="1" t="s">
        <v>570</v>
      </c>
      <c r="F687" s="5">
        <v>1</v>
      </c>
      <c r="G687" s="5">
        <v>2</v>
      </c>
      <c r="H687" s="1">
        <v>1.1399999999999999</v>
      </c>
      <c r="I687" s="1">
        <v>7.49</v>
      </c>
      <c r="J687" s="1">
        <v>14.27</v>
      </c>
      <c r="K687" s="6">
        <f>+H687-J687</f>
        <v>-13.129999999999999</v>
      </c>
      <c r="L687" s="7" t="str">
        <f>IF(F687-G687&gt;0,"Win","Loss")</f>
        <v>Loss</v>
      </c>
      <c r="M687" s="14">
        <f t="shared" si="20"/>
        <v>-50</v>
      </c>
      <c r="N687" s="14">
        <f t="shared" si="21"/>
        <v>50</v>
      </c>
    </row>
    <row r="688" spans="1:14" ht="12.75" x14ac:dyDescent="0.2">
      <c r="A688" s="1" t="s">
        <v>993</v>
      </c>
      <c r="B688" s="3" t="s">
        <v>994</v>
      </c>
      <c r="C688" s="4">
        <v>43499</v>
      </c>
      <c r="D688" s="2">
        <v>0.64583333333333337</v>
      </c>
      <c r="E688" s="1" t="s">
        <v>20</v>
      </c>
      <c r="F688" s="5">
        <v>2</v>
      </c>
      <c r="G688" s="5">
        <v>0</v>
      </c>
      <c r="H688" s="1">
        <v>2.63</v>
      </c>
      <c r="I688" s="1">
        <v>3.12</v>
      </c>
      <c r="J688" s="1">
        <v>2.56</v>
      </c>
      <c r="K688" s="6">
        <f>+H688-J688</f>
        <v>6.999999999999984E-2</v>
      </c>
      <c r="L688" s="7" t="str">
        <f>IF(F688-G688&gt;0,"Win","Loss")</f>
        <v>Win</v>
      </c>
      <c r="M688" s="14">
        <f t="shared" si="20"/>
        <v>81.5</v>
      </c>
      <c r="N688" s="14">
        <f t="shared" si="21"/>
        <v>50</v>
      </c>
    </row>
    <row r="689" spans="1:14" ht="12.75" x14ac:dyDescent="0.2">
      <c r="A689" s="1" t="s">
        <v>996</v>
      </c>
      <c r="B689" s="3" t="s">
        <v>997</v>
      </c>
      <c r="C689" s="4">
        <v>43499</v>
      </c>
      <c r="D689" s="2">
        <v>0.54166666666666663</v>
      </c>
      <c r="E689" s="1" t="s">
        <v>89</v>
      </c>
      <c r="F689" s="5">
        <v>0</v>
      </c>
      <c r="G689" s="5">
        <v>1</v>
      </c>
      <c r="H689" s="1">
        <v>6.3</v>
      </c>
      <c r="I689" s="1">
        <v>3.18</v>
      </c>
      <c r="J689" s="1">
        <v>1.55</v>
      </c>
      <c r="K689" s="6">
        <f>+H689-J689</f>
        <v>4.75</v>
      </c>
      <c r="L689" s="7" t="str">
        <f>IF(F689-G689&gt;0,"Win","Loss")</f>
        <v>Loss</v>
      </c>
      <c r="M689" s="14">
        <f t="shared" si="20"/>
        <v>-50</v>
      </c>
      <c r="N689" s="14">
        <f t="shared" si="21"/>
        <v>50</v>
      </c>
    </row>
    <row r="690" spans="1:14" ht="12.75" x14ac:dyDescent="0.2">
      <c r="A690" s="1" t="s">
        <v>996</v>
      </c>
      <c r="B690" s="3" t="s">
        <v>997</v>
      </c>
      <c r="C690" s="4">
        <v>43499</v>
      </c>
      <c r="D690" s="2">
        <v>0.54166666666666663</v>
      </c>
      <c r="E690" s="1" t="s">
        <v>90</v>
      </c>
      <c r="F690" s="5">
        <v>0</v>
      </c>
      <c r="G690" s="5">
        <v>2</v>
      </c>
      <c r="H690" s="1">
        <v>1.53</v>
      </c>
      <c r="I690" s="1">
        <v>3.24</v>
      </c>
      <c r="J690" s="1">
        <v>6.32</v>
      </c>
      <c r="K690" s="6">
        <f>+H690-J690</f>
        <v>-4.79</v>
      </c>
      <c r="L690" s="7" t="str">
        <f>IF(F690-G690&gt;0,"Win","Loss")</f>
        <v>Loss</v>
      </c>
      <c r="M690" s="14">
        <f t="shared" si="20"/>
        <v>-50</v>
      </c>
      <c r="N690" s="14">
        <f t="shared" si="21"/>
        <v>50</v>
      </c>
    </row>
    <row r="691" spans="1:14" ht="12.75" x14ac:dyDescent="0.2">
      <c r="A691" s="1" t="s">
        <v>998</v>
      </c>
      <c r="B691" s="3" t="s">
        <v>999</v>
      </c>
      <c r="C691" s="4">
        <v>43499</v>
      </c>
      <c r="D691" s="2">
        <v>0.70833333333333337</v>
      </c>
      <c r="E691" s="1" t="s">
        <v>131</v>
      </c>
      <c r="F691" s="5">
        <v>1</v>
      </c>
      <c r="G691" s="5">
        <v>1</v>
      </c>
      <c r="H691" s="1">
        <v>6.83</v>
      </c>
      <c r="I691" s="1">
        <v>5.45</v>
      </c>
      <c r="J691" s="1">
        <v>1.3</v>
      </c>
      <c r="K691" s="6">
        <f>+H691-J691</f>
        <v>5.53</v>
      </c>
      <c r="L691" s="7" t="str">
        <f>IF(F691-G691&gt;0,"Win","Loss")</f>
        <v>Loss</v>
      </c>
      <c r="M691" s="14">
        <f t="shared" si="20"/>
        <v>-50</v>
      </c>
      <c r="N691" s="14">
        <f t="shared" si="21"/>
        <v>50</v>
      </c>
    </row>
    <row r="692" spans="1:14" ht="12.75" x14ac:dyDescent="0.2">
      <c r="A692" s="1" t="s">
        <v>998</v>
      </c>
      <c r="B692" s="3" t="s">
        <v>999</v>
      </c>
      <c r="C692" s="4">
        <v>43499</v>
      </c>
      <c r="D692" s="2">
        <v>0.625</v>
      </c>
      <c r="E692" s="1" t="s">
        <v>132</v>
      </c>
      <c r="F692" s="5">
        <v>3</v>
      </c>
      <c r="G692" s="5">
        <v>1</v>
      </c>
      <c r="H692" s="1">
        <v>1.19</v>
      </c>
      <c r="I692" s="1">
        <v>6.3</v>
      </c>
      <c r="J692" s="1">
        <v>10</v>
      </c>
      <c r="K692" s="6">
        <f>+H692-J692</f>
        <v>-8.81</v>
      </c>
      <c r="L692" s="7" t="str">
        <f>IF(F692-G692&gt;0,"Win","Loss")</f>
        <v>Win</v>
      </c>
      <c r="M692" s="14">
        <f t="shared" si="20"/>
        <v>9.5</v>
      </c>
      <c r="N692" s="14">
        <f t="shared" si="21"/>
        <v>50</v>
      </c>
    </row>
    <row r="693" spans="1:14" ht="12.75" x14ac:dyDescent="0.2">
      <c r="A693" s="1" t="s">
        <v>998</v>
      </c>
      <c r="B693" s="3" t="s">
        <v>999</v>
      </c>
      <c r="C693" s="4">
        <v>43499</v>
      </c>
      <c r="D693" s="2">
        <v>0.45833333333333331</v>
      </c>
      <c r="E693" s="1" t="s">
        <v>133</v>
      </c>
      <c r="F693" s="5">
        <v>2</v>
      </c>
      <c r="G693" s="5">
        <v>1</v>
      </c>
      <c r="H693" s="1">
        <v>5.53</v>
      </c>
      <c r="I693" s="1">
        <v>5.08</v>
      </c>
      <c r="J693" s="1">
        <v>1.4</v>
      </c>
      <c r="K693" s="6">
        <f>+H693-J693</f>
        <v>4.1300000000000008</v>
      </c>
      <c r="L693" s="7" t="str">
        <f>IF(F693-G693&gt;0,"Win","Loss")</f>
        <v>Win</v>
      </c>
      <c r="M693" s="14">
        <f t="shared" si="20"/>
        <v>226.5</v>
      </c>
      <c r="N693" s="14">
        <f t="shared" si="21"/>
        <v>50</v>
      </c>
    </row>
    <row r="694" spans="1:14" ht="12.75" x14ac:dyDescent="0.2">
      <c r="A694" s="1" t="s">
        <v>1014</v>
      </c>
      <c r="B694" s="3" t="s">
        <v>1015</v>
      </c>
      <c r="C694" s="4">
        <v>43499</v>
      </c>
      <c r="D694" s="2">
        <v>0.66666666666666663</v>
      </c>
      <c r="E694" s="1" t="s">
        <v>567</v>
      </c>
      <c r="F694" s="5">
        <v>1</v>
      </c>
      <c r="G694" s="5">
        <v>2</v>
      </c>
      <c r="H694" s="1">
        <v>2.86</v>
      </c>
      <c r="I694" s="1">
        <v>3.27</v>
      </c>
      <c r="J694" s="1">
        <v>2.34</v>
      </c>
      <c r="K694" s="6">
        <f>+H694-J694</f>
        <v>0.52</v>
      </c>
      <c r="L694" s="7" t="str">
        <f>IF(F694-G694&gt;0,"Win","Loss")</f>
        <v>Loss</v>
      </c>
      <c r="M694" s="14">
        <f t="shared" si="20"/>
        <v>-50</v>
      </c>
      <c r="N694" s="14">
        <f t="shared" si="21"/>
        <v>50</v>
      </c>
    </row>
    <row r="695" spans="1:14" ht="12.75" x14ac:dyDescent="0.2">
      <c r="A695" s="1" t="s">
        <v>1014</v>
      </c>
      <c r="B695" s="3" t="s">
        <v>1015</v>
      </c>
      <c r="C695" s="4">
        <v>43499</v>
      </c>
      <c r="D695" s="2">
        <v>0.625</v>
      </c>
      <c r="E695" s="1" t="s">
        <v>568</v>
      </c>
      <c r="F695" s="5">
        <v>1</v>
      </c>
      <c r="G695" s="5">
        <v>1</v>
      </c>
      <c r="H695" s="1">
        <v>2.4300000000000002</v>
      </c>
      <c r="I695" s="1">
        <v>3.4</v>
      </c>
      <c r="J695" s="1">
        <v>2.65</v>
      </c>
      <c r="K695" s="6">
        <f>+H695-J695</f>
        <v>-0.21999999999999975</v>
      </c>
      <c r="L695" s="7" t="str">
        <f>IF(F695-G695&gt;0,"Win","Loss")</f>
        <v>Loss</v>
      </c>
      <c r="M695" s="14">
        <f t="shared" si="20"/>
        <v>-50</v>
      </c>
      <c r="N695" s="14">
        <f t="shared" si="21"/>
        <v>50</v>
      </c>
    </row>
    <row r="696" spans="1:14" ht="12.75" x14ac:dyDescent="0.2">
      <c r="A696" s="1" t="s">
        <v>1014</v>
      </c>
      <c r="B696" s="3" t="s">
        <v>1015</v>
      </c>
      <c r="C696" s="4">
        <v>43499</v>
      </c>
      <c r="D696" s="2">
        <v>0.58333333333333337</v>
      </c>
      <c r="E696" s="1" t="s">
        <v>569</v>
      </c>
      <c r="F696" s="5">
        <v>0</v>
      </c>
      <c r="G696" s="5">
        <v>0</v>
      </c>
      <c r="H696" s="1">
        <v>2.72</v>
      </c>
      <c r="I696" s="1">
        <v>3.16</v>
      </c>
      <c r="J696" s="1">
        <v>2.52</v>
      </c>
      <c r="K696" s="6">
        <f>+H696-J696</f>
        <v>0.20000000000000018</v>
      </c>
      <c r="L696" s="7" t="str">
        <f>IF(F696-G696&gt;0,"Win","Loss")</f>
        <v>Loss</v>
      </c>
      <c r="M696" s="14">
        <f t="shared" si="20"/>
        <v>-50</v>
      </c>
      <c r="N696" s="14">
        <f t="shared" si="21"/>
        <v>50</v>
      </c>
    </row>
    <row r="697" spans="1:14" ht="12.75" x14ac:dyDescent="0.2">
      <c r="A697" s="1" t="s">
        <v>993</v>
      </c>
      <c r="B697" s="3" t="s">
        <v>994</v>
      </c>
      <c r="C697" s="4">
        <v>43500</v>
      </c>
      <c r="D697" s="2">
        <v>0.64583333333333337</v>
      </c>
      <c r="E697" s="1" t="s">
        <v>19</v>
      </c>
      <c r="F697" s="5">
        <v>0</v>
      </c>
      <c r="G697" s="5">
        <v>2</v>
      </c>
      <c r="H697" s="1">
        <v>4.2</v>
      </c>
      <c r="I697" s="1">
        <v>3.4</v>
      </c>
      <c r="J697" s="1">
        <v>1.75</v>
      </c>
      <c r="K697" s="6">
        <f>+H697-J697</f>
        <v>2.4500000000000002</v>
      </c>
      <c r="L697" s="7" t="str">
        <f>IF(F697-G697&gt;0,"Win","Loss")</f>
        <v>Loss</v>
      </c>
      <c r="M697" s="14">
        <f t="shared" si="20"/>
        <v>-50</v>
      </c>
      <c r="N697" s="14">
        <f t="shared" si="21"/>
        <v>50</v>
      </c>
    </row>
    <row r="698" spans="1:14" ht="12.75" x14ac:dyDescent="0.2">
      <c r="A698" s="1" t="s">
        <v>1014</v>
      </c>
      <c r="B698" s="3" t="s">
        <v>1015</v>
      </c>
      <c r="C698" s="4">
        <v>43500</v>
      </c>
      <c r="D698" s="2">
        <v>0.70833333333333337</v>
      </c>
      <c r="E698" s="1" t="s">
        <v>566</v>
      </c>
      <c r="F698" s="5">
        <v>0</v>
      </c>
      <c r="G698" s="5">
        <v>2</v>
      </c>
      <c r="H698" s="1">
        <v>5.1100000000000003</v>
      </c>
      <c r="I698" s="1">
        <v>4.1100000000000003</v>
      </c>
      <c r="J698" s="1">
        <v>1.56</v>
      </c>
      <c r="K698" s="6">
        <f>+H698-J698</f>
        <v>3.5500000000000003</v>
      </c>
      <c r="L698" s="7" t="str">
        <f>IF(F698-G698&gt;0,"Win","Loss")</f>
        <v>Loss</v>
      </c>
      <c r="M698" s="14">
        <f t="shared" si="20"/>
        <v>-50</v>
      </c>
      <c r="N698" s="14">
        <f t="shared" si="21"/>
        <v>50</v>
      </c>
    </row>
    <row r="699" spans="1:14" ht="12.75" x14ac:dyDescent="0.2">
      <c r="A699" s="1" t="s">
        <v>993</v>
      </c>
      <c r="B699" s="3" t="s">
        <v>994</v>
      </c>
      <c r="C699" s="4">
        <v>43501</v>
      </c>
      <c r="D699" s="2">
        <v>0.77083333333333337</v>
      </c>
      <c r="E699" s="1" t="s">
        <v>17</v>
      </c>
      <c r="F699" s="5">
        <v>3</v>
      </c>
      <c r="G699" s="5">
        <v>3</v>
      </c>
      <c r="H699" s="1">
        <v>7.53</v>
      </c>
      <c r="I699" s="1">
        <v>3.29</v>
      </c>
      <c r="J699" s="1">
        <v>1.53</v>
      </c>
      <c r="K699" s="6">
        <f>+H699-J699</f>
        <v>6</v>
      </c>
      <c r="L699" s="7" t="str">
        <f>IF(F699-G699&gt;0,"Win","Loss")</f>
        <v>Loss</v>
      </c>
      <c r="M699" s="14">
        <f t="shared" si="20"/>
        <v>-50</v>
      </c>
      <c r="N699" s="14">
        <f t="shared" si="21"/>
        <v>50</v>
      </c>
    </row>
    <row r="700" spans="1:14" ht="12.75" x14ac:dyDescent="0.2">
      <c r="A700" s="1" t="s">
        <v>993</v>
      </c>
      <c r="B700" s="3" t="s">
        <v>994</v>
      </c>
      <c r="C700" s="4">
        <v>43501</v>
      </c>
      <c r="D700" s="2">
        <v>0.64583333333333337</v>
      </c>
      <c r="E700" s="1" t="s">
        <v>18</v>
      </c>
      <c r="F700" s="5">
        <v>0</v>
      </c>
      <c r="G700" s="5">
        <v>0</v>
      </c>
      <c r="H700" s="1">
        <v>3.93</v>
      </c>
      <c r="I700" s="1">
        <v>2.9</v>
      </c>
      <c r="J700" s="1">
        <v>2.0499999999999998</v>
      </c>
      <c r="K700" s="6">
        <f>+H700-J700</f>
        <v>1.8800000000000003</v>
      </c>
      <c r="L700" s="7" t="str">
        <f>IF(F700-G700&gt;0,"Win","Loss")</f>
        <v>Loss</v>
      </c>
      <c r="M700" s="14">
        <f t="shared" si="20"/>
        <v>-50</v>
      </c>
      <c r="N700" s="14">
        <f t="shared" si="21"/>
        <v>50</v>
      </c>
    </row>
    <row r="701" spans="1:14" ht="12.75" x14ac:dyDescent="0.2">
      <c r="A701" s="1" t="s">
        <v>1002</v>
      </c>
      <c r="B701" s="3" t="s">
        <v>1003</v>
      </c>
      <c r="C701" s="4">
        <v>43501</v>
      </c>
      <c r="D701" s="2">
        <v>0.70833333333333337</v>
      </c>
      <c r="E701" s="1" t="s">
        <v>286</v>
      </c>
      <c r="F701" s="5">
        <v>2</v>
      </c>
      <c r="G701" s="5">
        <v>3</v>
      </c>
      <c r="H701" s="1">
        <v>2.65</v>
      </c>
      <c r="I701" s="1">
        <v>3.03</v>
      </c>
      <c r="J701" s="1">
        <v>2.73</v>
      </c>
      <c r="K701" s="6">
        <f>+H701-J701</f>
        <v>-8.0000000000000071E-2</v>
      </c>
      <c r="L701" s="7" t="str">
        <f>IF(F701-G701&gt;0,"Win","Loss")</f>
        <v>Loss</v>
      </c>
      <c r="M701" s="14">
        <f t="shared" si="20"/>
        <v>-50</v>
      </c>
      <c r="N701" s="14">
        <f t="shared" si="21"/>
        <v>50</v>
      </c>
    </row>
    <row r="702" spans="1:14" ht="12.75" x14ac:dyDescent="0.2">
      <c r="A702" s="1" t="s">
        <v>993</v>
      </c>
      <c r="B702" s="3" t="s">
        <v>994</v>
      </c>
      <c r="C702" s="4">
        <v>43502</v>
      </c>
      <c r="D702" s="2">
        <v>0.64583333333333337</v>
      </c>
      <c r="E702" s="1" t="s">
        <v>15</v>
      </c>
      <c r="F702" s="5">
        <v>0</v>
      </c>
      <c r="G702" s="5">
        <v>2</v>
      </c>
      <c r="H702" s="1">
        <v>3.07</v>
      </c>
      <c r="I702" s="1">
        <v>2.76</v>
      </c>
      <c r="J702" s="1">
        <v>2.4700000000000002</v>
      </c>
      <c r="K702" s="6">
        <f>+H702-J702</f>
        <v>0.59999999999999964</v>
      </c>
      <c r="L702" s="7" t="str">
        <f>IF(F702-G702&gt;0,"Win","Loss")</f>
        <v>Loss</v>
      </c>
      <c r="M702" s="14">
        <f t="shared" si="20"/>
        <v>-50</v>
      </c>
      <c r="N702" s="14">
        <f t="shared" si="21"/>
        <v>50</v>
      </c>
    </row>
    <row r="703" spans="1:14" ht="12.75" x14ac:dyDescent="0.2">
      <c r="A703" s="1" t="s">
        <v>993</v>
      </c>
      <c r="B703" s="3" t="s">
        <v>994</v>
      </c>
      <c r="C703" s="4">
        <v>43502</v>
      </c>
      <c r="D703" s="2">
        <v>0.52083333333333337</v>
      </c>
      <c r="E703" s="1" t="s">
        <v>16</v>
      </c>
      <c r="F703" s="5">
        <v>1</v>
      </c>
      <c r="G703" s="5">
        <v>0</v>
      </c>
      <c r="H703" s="1">
        <v>1.52</v>
      </c>
      <c r="I703" s="1">
        <v>3.41</v>
      </c>
      <c r="J703" s="1">
        <v>7.02</v>
      </c>
      <c r="K703" s="6">
        <f>+H703-J703</f>
        <v>-5.5</v>
      </c>
      <c r="L703" s="7" t="str">
        <f>IF(F703-G703&gt;0,"Win","Loss")</f>
        <v>Win</v>
      </c>
      <c r="M703" s="14">
        <f t="shared" si="20"/>
        <v>26</v>
      </c>
      <c r="N703" s="14">
        <f t="shared" si="21"/>
        <v>50</v>
      </c>
    </row>
    <row r="704" spans="1:14" ht="12.75" x14ac:dyDescent="0.2">
      <c r="A704" s="1" t="s">
        <v>993</v>
      </c>
      <c r="B704" s="3" t="s">
        <v>994</v>
      </c>
      <c r="C704" s="4">
        <v>43504</v>
      </c>
      <c r="D704" s="2">
        <v>0.64583333333333337</v>
      </c>
      <c r="E704" s="1" t="s">
        <v>13</v>
      </c>
      <c r="F704" s="5">
        <v>0</v>
      </c>
      <c r="G704" s="5">
        <v>1</v>
      </c>
      <c r="H704" s="1">
        <v>5.37</v>
      </c>
      <c r="I704" s="1">
        <v>3.33</v>
      </c>
      <c r="J704" s="1">
        <v>1.63</v>
      </c>
      <c r="K704" s="6">
        <f>+H704-J704</f>
        <v>3.74</v>
      </c>
      <c r="L704" s="7" t="str">
        <f>IF(F704-G704&gt;0,"Win","Loss")</f>
        <v>Loss</v>
      </c>
      <c r="M704" s="14">
        <f t="shared" si="20"/>
        <v>-50</v>
      </c>
      <c r="N704" s="14">
        <f t="shared" si="21"/>
        <v>50</v>
      </c>
    </row>
    <row r="705" spans="1:14" ht="12.75" x14ac:dyDescent="0.2">
      <c r="A705" s="1" t="s">
        <v>993</v>
      </c>
      <c r="B705" s="3" t="s">
        <v>994</v>
      </c>
      <c r="C705" s="4">
        <v>43504</v>
      </c>
      <c r="D705" s="2">
        <v>0.64583333333333337</v>
      </c>
      <c r="E705" s="1" t="s">
        <v>14</v>
      </c>
      <c r="F705" s="5">
        <v>1</v>
      </c>
      <c r="G705" s="5">
        <v>0</v>
      </c>
      <c r="H705" s="1">
        <v>1.61</v>
      </c>
      <c r="I705" s="1">
        <v>3.5</v>
      </c>
      <c r="J705" s="1">
        <v>5.24</v>
      </c>
      <c r="K705" s="6">
        <f>+H705-J705</f>
        <v>-3.63</v>
      </c>
      <c r="L705" s="7" t="str">
        <f>IF(F705-G705&gt;0,"Win","Loss")</f>
        <v>Win</v>
      </c>
      <c r="M705" s="14">
        <f t="shared" si="20"/>
        <v>30.5</v>
      </c>
      <c r="N705" s="14">
        <f t="shared" si="21"/>
        <v>50</v>
      </c>
    </row>
    <row r="706" spans="1:14" ht="12.75" x14ac:dyDescent="0.2">
      <c r="A706" s="1" t="s">
        <v>993</v>
      </c>
      <c r="B706" s="3" t="s">
        <v>994</v>
      </c>
      <c r="C706" s="4">
        <v>43505</v>
      </c>
      <c r="D706" s="2">
        <v>0.64583333333333337</v>
      </c>
      <c r="E706" s="1" t="s">
        <v>11</v>
      </c>
      <c r="F706" s="5">
        <v>1</v>
      </c>
      <c r="G706" s="5">
        <v>0</v>
      </c>
      <c r="H706" s="1">
        <v>3.16</v>
      </c>
      <c r="I706" s="1">
        <v>3.25</v>
      </c>
      <c r="J706" s="1">
        <v>2.19</v>
      </c>
      <c r="K706" s="6">
        <f>+H706-J706</f>
        <v>0.9700000000000002</v>
      </c>
      <c r="L706" s="7" t="str">
        <f>IF(F706-G706&gt;0,"Win","Loss")</f>
        <v>Win</v>
      </c>
      <c r="M706" s="14">
        <f t="shared" si="20"/>
        <v>108</v>
      </c>
      <c r="N706" s="14">
        <f t="shared" si="21"/>
        <v>50</v>
      </c>
    </row>
    <row r="707" spans="1:14" ht="12.75" x14ac:dyDescent="0.2">
      <c r="A707" s="1" t="s">
        <v>993</v>
      </c>
      <c r="B707" s="3" t="s">
        <v>994</v>
      </c>
      <c r="C707" s="4">
        <v>43505</v>
      </c>
      <c r="D707" s="2">
        <v>0.64583333333333337</v>
      </c>
      <c r="E707" s="1" t="s">
        <v>12</v>
      </c>
      <c r="F707" s="5">
        <v>5</v>
      </c>
      <c r="G707" s="5">
        <v>1</v>
      </c>
      <c r="H707" s="1">
        <v>1.45</v>
      </c>
      <c r="I707" s="1">
        <v>4.0199999999999996</v>
      </c>
      <c r="J707" s="1">
        <v>6.42</v>
      </c>
      <c r="K707" s="6">
        <f>+H707-J707</f>
        <v>-4.97</v>
      </c>
      <c r="L707" s="7" t="str">
        <f>IF(F707-G707&gt;0,"Win","Loss")</f>
        <v>Win</v>
      </c>
      <c r="M707" s="14">
        <f t="shared" si="20"/>
        <v>22.5</v>
      </c>
      <c r="N707" s="14">
        <f t="shared" si="21"/>
        <v>50</v>
      </c>
    </row>
    <row r="708" spans="1:14" ht="12.75" x14ac:dyDescent="0.2">
      <c r="A708" s="1" t="s">
        <v>1014</v>
      </c>
      <c r="B708" s="3" t="s">
        <v>1015</v>
      </c>
      <c r="C708" s="4">
        <v>43505</v>
      </c>
      <c r="D708" s="2">
        <v>0.66666666666666663</v>
      </c>
      <c r="E708" s="1" t="s">
        <v>564</v>
      </c>
      <c r="F708" s="5">
        <v>0</v>
      </c>
      <c r="G708" s="5">
        <v>2</v>
      </c>
      <c r="H708" s="1">
        <v>3.02</v>
      </c>
      <c r="I708" s="1">
        <v>3.1</v>
      </c>
      <c r="J708" s="1">
        <v>2.34</v>
      </c>
      <c r="K708" s="6">
        <f>+H708-J708</f>
        <v>0.68000000000000016</v>
      </c>
      <c r="L708" s="7" t="str">
        <f>IF(F708-G708&gt;0,"Win","Loss")</f>
        <v>Loss</v>
      </c>
      <c r="M708" s="14">
        <f t="shared" si="20"/>
        <v>-50</v>
      </c>
      <c r="N708" s="14">
        <f t="shared" si="21"/>
        <v>50</v>
      </c>
    </row>
    <row r="709" spans="1:14" ht="12.75" x14ac:dyDescent="0.2">
      <c r="A709" s="1" t="s">
        <v>1014</v>
      </c>
      <c r="B709" s="3" t="s">
        <v>1015</v>
      </c>
      <c r="C709" s="4">
        <v>43505</v>
      </c>
      <c r="D709" s="2">
        <v>0.625</v>
      </c>
      <c r="E709" s="1" t="s">
        <v>565</v>
      </c>
      <c r="F709" s="5">
        <v>0</v>
      </c>
      <c r="G709" s="5">
        <v>0</v>
      </c>
      <c r="H709" s="1">
        <v>1.79</v>
      </c>
      <c r="I709" s="1">
        <v>3.65</v>
      </c>
      <c r="J709" s="1">
        <v>4.0599999999999996</v>
      </c>
      <c r="K709" s="6">
        <f>+H709-J709</f>
        <v>-2.2699999999999996</v>
      </c>
      <c r="L709" s="7" t="str">
        <f>IF(F709-G709&gt;0,"Win","Loss")</f>
        <v>Loss</v>
      </c>
      <c r="M709" s="14">
        <f t="shared" si="20"/>
        <v>-50</v>
      </c>
      <c r="N709" s="14">
        <f t="shared" si="21"/>
        <v>50</v>
      </c>
    </row>
    <row r="710" spans="1:14" ht="12.75" x14ac:dyDescent="0.2">
      <c r="A710" s="1" t="s">
        <v>996</v>
      </c>
      <c r="B710" s="3" t="s">
        <v>997</v>
      </c>
      <c r="C710" s="4">
        <v>43506</v>
      </c>
      <c r="D710" s="2">
        <v>0.66666666666666663</v>
      </c>
      <c r="E710" s="1" t="s">
        <v>86</v>
      </c>
      <c r="F710" s="5">
        <v>0</v>
      </c>
      <c r="G710" s="5">
        <v>0</v>
      </c>
      <c r="H710" s="1">
        <v>1.43</v>
      </c>
      <c r="I710" s="1">
        <v>3.47</v>
      </c>
      <c r="J710" s="1">
        <v>7.3</v>
      </c>
      <c r="K710" s="6">
        <f>+H710-J710</f>
        <v>-5.87</v>
      </c>
      <c r="L710" s="7" t="str">
        <f>IF(F710-G710&gt;0,"Win","Loss")</f>
        <v>Loss</v>
      </c>
      <c r="M710" s="14">
        <f t="shared" si="20"/>
        <v>-50</v>
      </c>
      <c r="N710" s="14">
        <f t="shared" si="21"/>
        <v>50</v>
      </c>
    </row>
    <row r="711" spans="1:14" ht="12.75" x14ac:dyDescent="0.2">
      <c r="A711" s="1" t="s">
        <v>996</v>
      </c>
      <c r="B711" s="3" t="s">
        <v>997</v>
      </c>
      <c r="C711" s="4">
        <v>43506</v>
      </c>
      <c r="D711" s="2">
        <v>0.54166666666666663</v>
      </c>
      <c r="E711" s="1" t="s">
        <v>87</v>
      </c>
      <c r="F711" s="5">
        <v>0</v>
      </c>
      <c r="G711" s="5">
        <v>1</v>
      </c>
      <c r="H711" s="1">
        <v>1.68</v>
      </c>
      <c r="I711" s="1">
        <v>3.08</v>
      </c>
      <c r="J711" s="1">
        <v>4.99</v>
      </c>
      <c r="K711" s="6">
        <f>+H711-J711</f>
        <v>-3.3100000000000005</v>
      </c>
      <c r="L711" s="7" t="str">
        <f>IF(F711-G711&gt;0,"Win","Loss")</f>
        <v>Loss</v>
      </c>
      <c r="M711" s="14">
        <f t="shared" si="20"/>
        <v>-50</v>
      </c>
      <c r="N711" s="14">
        <f t="shared" si="21"/>
        <v>50</v>
      </c>
    </row>
    <row r="712" spans="1:14" ht="12.75" x14ac:dyDescent="0.2">
      <c r="A712" s="1" t="s">
        <v>996</v>
      </c>
      <c r="B712" s="3" t="s">
        <v>997</v>
      </c>
      <c r="C712" s="4">
        <v>43506</v>
      </c>
      <c r="D712" s="2">
        <v>0.54166666666666663</v>
      </c>
      <c r="E712" s="1" t="s">
        <v>88</v>
      </c>
      <c r="F712" s="5">
        <v>0</v>
      </c>
      <c r="G712" s="5">
        <v>0</v>
      </c>
      <c r="H712" s="1">
        <v>2.7</v>
      </c>
      <c r="I712" s="1">
        <v>2.78</v>
      </c>
      <c r="J712" s="1">
        <v>2.59</v>
      </c>
      <c r="K712" s="6">
        <f>+H712-J712</f>
        <v>0.11000000000000032</v>
      </c>
      <c r="L712" s="7" t="str">
        <f>IF(F712-G712&gt;0,"Win","Loss")</f>
        <v>Loss</v>
      </c>
      <c r="M712" s="14">
        <f t="shared" si="20"/>
        <v>-50</v>
      </c>
      <c r="N712" s="14">
        <f t="shared" si="21"/>
        <v>50</v>
      </c>
    </row>
    <row r="713" spans="1:14" ht="12.75" x14ac:dyDescent="0.2">
      <c r="A713" s="1" t="s">
        <v>1010</v>
      </c>
      <c r="B713" s="3" t="s">
        <v>1011</v>
      </c>
      <c r="C713" s="4">
        <v>43506</v>
      </c>
      <c r="D713" s="2">
        <v>0.58333333333333337</v>
      </c>
      <c r="E713" s="1" t="s">
        <v>462</v>
      </c>
      <c r="F713" s="5">
        <v>2</v>
      </c>
      <c r="G713" s="5">
        <v>1</v>
      </c>
      <c r="H713" s="1">
        <v>3.6</v>
      </c>
      <c r="I713" s="1">
        <v>3.4</v>
      </c>
      <c r="J713" s="1">
        <v>1.8</v>
      </c>
      <c r="K713" s="6">
        <f>+H713-J713</f>
        <v>1.8</v>
      </c>
      <c r="L713" s="7" t="str">
        <f>IF(F713-G713&gt;0,"Win","Loss")</f>
        <v>Win</v>
      </c>
      <c r="M713" s="14">
        <f t="shared" si="20"/>
        <v>130</v>
      </c>
      <c r="N713" s="14">
        <f t="shared" si="21"/>
        <v>50</v>
      </c>
    </row>
    <row r="714" spans="1:14" ht="12.75" x14ac:dyDescent="0.2">
      <c r="A714" s="1" t="s">
        <v>1010</v>
      </c>
      <c r="B714" s="3" t="s">
        <v>1011</v>
      </c>
      <c r="C714" s="4">
        <v>43506</v>
      </c>
      <c r="D714" s="2">
        <v>0.58333333333333337</v>
      </c>
      <c r="E714" s="1" t="s">
        <v>463</v>
      </c>
      <c r="F714" s="5">
        <v>1</v>
      </c>
      <c r="G714" s="5">
        <v>1</v>
      </c>
      <c r="H714" s="1">
        <v>4.25</v>
      </c>
      <c r="I714" s="1">
        <v>3.6</v>
      </c>
      <c r="J714" s="1">
        <v>1.6</v>
      </c>
      <c r="K714" s="6">
        <f>+H714-J714</f>
        <v>2.65</v>
      </c>
      <c r="L714" s="7" t="str">
        <f>IF(F714-G714&gt;0,"Win","Loss")</f>
        <v>Loss</v>
      </c>
      <c r="M714" s="14">
        <f t="shared" si="20"/>
        <v>-50</v>
      </c>
      <c r="N714" s="14">
        <f t="shared" si="21"/>
        <v>50</v>
      </c>
    </row>
    <row r="715" spans="1:14" ht="12.75" x14ac:dyDescent="0.2">
      <c r="A715" s="1" t="s">
        <v>1010</v>
      </c>
      <c r="B715" s="3" t="s">
        <v>1011</v>
      </c>
      <c r="C715" s="4">
        <v>43506</v>
      </c>
      <c r="D715" s="2">
        <v>0.58333333333333337</v>
      </c>
      <c r="E715" s="1" t="s">
        <v>464</v>
      </c>
      <c r="F715" s="5">
        <v>1</v>
      </c>
      <c r="G715" s="5">
        <v>1</v>
      </c>
      <c r="H715" s="1">
        <v>2.2000000000000002</v>
      </c>
      <c r="I715" s="1">
        <v>3.3</v>
      </c>
      <c r="J715" s="1">
        <v>2.7</v>
      </c>
      <c r="K715" s="6">
        <f>+H715-J715</f>
        <v>-0.5</v>
      </c>
      <c r="L715" s="7" t="str">
        <f>IF(F715-G715&gt;0,"Win","Loss")</f>
        <v>Loss</v>
      </c>
      <c r="M715" s="14">
        <f t="shared" si="20"/>
        <v>-50</v>
      </c>
      <c r="N715" s="14">
        <f t="shared" si="21"/>
        <v>50</v>
      </c>
    </row>
    <row r="716" spans="1:14" ht="12.75" x14ac:dyDescent="0.2">
      <c r="A716" s="1" t="s">
        <v>1010</v>
      </c>
      <c r="B716" s="3" t="s">
        <v>1011</v>
      </c>
      <c r="C716" s="4">
        <v>43506</v>
      </c>
      <c r="D716" s="2">
        <v>0.58333333333333337</v>
      </c>
      <c r="E716" s="1" t="s">
        <v>465</v>
      </c>
      <c r="F716" s="5">
        <v>1</v>
      </c>
      <c r="G716" s="5">
        <v>1</v>
      </c>
      <c r="H716" s="1">
        <v>1.8</v>
      </c>
      <c r="I716" s="1">
        <v>3.6</v>
      </c>
      <c r="J716" s="1">
        <v>3.3</v>
      </c>
      <c r="K716" s="6">
        <f>+H716-J716</f>
        <v>-1.4999999999999998</v>
      </c>
      <c r="L716" s="7" t="str">
        <f>IF(F716-G716&gt;0,"Win","Loss")</f>
        <v>Loss</v>
      </c>
      <c r="M716" s="14">
        <f t="shared" si="20"/>
        <v>-50</v>
      </c>
      <c r="N716" s="14">
        <f t="shared" si="21"/>
        <v>50</v>
      </c>
    </row>
    <row r="717" spans="1:14" ht="12.75" x14ac:dyDescent="0.2">
      <c r="A717" s="1" t="s">
        <v>1010</v>
      </c>
      <c r="B717" s="3" t="s">
        <v>1011</v>
      </c>
      <c r="C717" s="4">
        <v>43506</v>
      </c>
      <c r="D717" s="2">
        <v>0.58333333333333337</v>
      </c>
      <c r="E717" s="1" t="s">
        <v>466</v>
      </c>
      <c r="F717" s="5">
        <v>0</v>
      </c>
      <c r="G717" s="5">
        <v>1</v>
      </c>
      <c r="H717" s="1">
        <v>1.65</v>
      </c>
      <c r="I717" s="1">
        <v>3.6</v>
      </c>
      <c r="J717" s="1">
        <v>4</v>
      </c>
      <c r="K717" s="6">
        <f>+H717-J717</f>
        <v>-2.35</v>
      </c>
      <c r="L717" s="7" t="str">
        <f>IF(F717-G717&gt;0,"Win","Loss")</f>
        <v>Loss</v>
      </c>
      <c r="M717" s="14">
        <f t="shared" si="20"/>
        <v>-50</v>
      </c>
      <c r="N717" s="14">
        <f t="shared" si="21"/>
        <v>50</v>
      </c>
    </row>
    <row r="718" spans="1:14" ht="12.75" x14ac:dyDescent="0.2">
      <c r="A718" s="1" t="s">
        <v>1010</v>
      </c>
      <c r="B718" s="3" t="s">
        <v>1011</v>
      </c>
      <c r="C718" s="4">
        <v>43506</v>
      </c>
      <c r="D718" s="2">
        <v>0.58333333333333337</v>
      </c>
      <c r="E718" s="1" t="s">
        <v>467</v>
      </c>
      <c r="F718" s="5">
        <v>0</v>
      </c>
      <c r="G718" s="5">
        <v>2</v>
      </c>
      <c r="H718" s="1">
        <v>3.45</v>
      </c>
      <c r="I718" s="1">
        <v>3.6</v>
      </c>
      <c r="J718" s="1">
        <v>1.8</v>
      </c>
      <c r="K718" s="6">
        <f>+H718-J718</f>
        <v>1.6500000000000001</v>
      </c>
      <c r="L718" s="7" t="str">
        <f>IF(F718-G718&gt;0,"Win","Loss")</f>
        <v>Loss</v>
      </c>
      <c r="M718" s="14">
        <f t="shared" ref="M718:M781" si="22">IF(L718="Win",(H718*N718)-N718,-N718)</f>
        <v>-50</v>
      </c>
      <c r="N718" s="14">
        <f t="shared" ref="N718:N781" si="23">+$M$1</f>
        <v>50</v>
      </c>
    </row>
    <row r="719" spans="1:14" ht="12.75" x14ac:dyDescent="0.2">
      <c r="A719" s="1" t="s">
        <v>1010</v>
      </c>
      <c r="B719" s="3" t="s">
        <v>1011</v>
      </c>
      <c r="C719" s="4">
        <v>43506</v>
      </c>
      <c r="D719" s="2">
        <v>0.58333333333333337</v>
      </c>
      <c r="E719" s="1" t="s">
        <v>468</v>
      </c>
      <c r="F719" s="5">
        <v>1</v>
      </c>
      <c r="G719" s="5">
        <v>1</v>
      </c>
      <c r="H719" s="1">
        <v>1.4</v>
      </c>
      <c r="I719" s="1">
        <v>4.4000000000000004</v>
      </c>
      <c r="J719" s="1">
        <v>5.0999999999999996</v>
      </c>
      <c r="K719" s="6">
        <f>+H719-J719</f>
        <v>-3.6999999999999997</v>
      </c>
      <c r="L719" s="7" t="str">
        <f>IF(F719-G719&gt;0,"Win","Loss")</f>
        <v>Loss</v>
      </c>
      <c r="M719" s="14">
        <f t="shared" si="22"/>
        <v>-50</v>
      </c>
      <c r="N719" s="14">
        <f t="shared" si="23"/>
        <v>50</v>
      </c>
    </row>
    <row r="720" spans="1:14" ht="12.75" x14ac:dyDescent="0.2">
      <c r="A720" s="1" t="s">
        <v>1012</v>
      </c>
      <c r="B720" s="3" t="s">
        <v>1013</v>
      </c>
      <c r="C720" s="4">
        <v>43506</v>
      </c>
      <c r="D720" s="2">
        <v>0.88541666666666663</v>
      </c>
      <c r="E720" s="1" t="s">
        <v>533</v>
      </c>
      <c r="F720" s="5">
        <v>2</v>
      </c>
      <c r="G720" s="5">
        <v>0</v>
      </c>
      <c r="H720" s="1">
        <v>2.35</v>
      </c>
      <c r="I720" s="1">
        <v>3.51</v>
      </c>
      <c r="J720" s="1">
        <v>2.67</v>
      </c>
      <c r="K720" s="6">
        <f>+H720-J720</f>
        <v>-0.31999999999999984</v>
      </c>
      <c r="L720" s="7" t="str">
        <f>IF(F720-G720&gt;0,"Win","Loss")</f>
        <v>Win</v>
      </c>
      <c r="M720" s="14">
        <f t="shared" si="22"/>
        <v>67.5</v>
      </c>
      <c r="N720" s="14">
        <f t="shared" si="23"/>
        <v>50</v>
      </c>
    </row>
    <row r="721" spans="1:14" ht="12.75" x14ac:dyDescent="0.2">
      <c r="A721" s="1" t="s">
        <v>1014</v>
      </c>
      <c r="B721" s="3" t="s">
        <v>1015</v>
      </c>
      <c r="C721" s="4">
        <v>43506</v>
      </c>
      <c r="D721" s="2">
        <v>0.66666666666666663</v>
      </c>
      <c r="E721" s="1" t="s">
        <v>561</v>
      </c>
      <c r="F721" s="5">
        <v>2</v>
      </c>
      <c r="G721" s="5">
        <v>0</v>
      </c>
      <c r="H721" s="1">
        <v>1.23</v>
      </c>
      <c r="I721" s="1">
        <v>5.58</v>
      </c>
      <c r="J721" s="1">
        <v>10.72</v>
      </c>
      <c r="K721" s="6">
        <f>+H721-J721</f>
        <v>-9.49</v>
      </c>
      <c r="L721" s="7" t="str">
        <f>IF(F721-G721&gt;0,"Win","Loss")</f>
        <v>Win</v>
      </c>
      <c r="M721" s="14">
        <f t="shared" si="22"/>
        <v>11.5</v>
      </c>
      <c r="N721" s="14">
        <f t="shared" si="23"/>
        <v>50</v>
      </c>
    </row>
    <row r="722" spans="1:14" ht="12.75" x14ac:dyDescent="0.2">
      <c r="A722" s="1" t="s">
        <v>1014</v>
      </c>
      <c r="B722" s="3" t="s">
        <v>1015</v>
      </c>
      <c r="C722" s="4">
        <v>43506</v>
      </c>
      <c r="D722" s="2">
        <v>0.625</v>
      </c>
      <c r="E722" s="1" t="s">
        <v>562</v>
      </c>
      <c r="F722" s="5">
        <v>2</v>
      </c>
      <c r="G722" s="5">
        <v>2</v>
      </c>
      <c r="H722" s="1">
        <v>1.51</v>
      </c>
      <c r="I722" s="1">
        <v>4.13</v>
      </c>
      <c r="J722" s="1">
        <v>5.58</v>
      </c>
      <c r="K722" s="6">
        <f>+H722-J722</f>
        <v>-4.07</v>
      </c>
      <c r="L722" s="7" t="str">
        <f>IF(F722-G722&gt;0,"Win","Loss")</f>
        <v>Loss</v>
      </c>
      <c r="M722" s="14">
        <f t="shared" si="22"/>
        <v>-50</v>
      </c>
      <c r="N722" s="14">
        <f t="shared" si="23"/>
        <v>50</v>
      </c>
    </row>
    <row r="723" spans="1:14" ht="12.75" x14ac:dyDescent="0.2">
      <c r="A723" s="1" t="s">
        <v>1014</v>
      </c>
      <c r="B723" s="3" t="s">
        <v>1015</v>
      </c>
      <c r="C723" s="4">
        <v>43506</v>
      </c>
      <c r="D723" s="2">
        <v>0.58333333333333337</v>
      </c>
      <c r="E723" s="1" t="s">
        <v>563</v>
      </c>
      <c r="F723" s="5">
        <v>0</v>
      </c>
      <c r="G723" s="5">
        <v>2</v>
      </c>
      <c r="H723" s="1">
        <v>11.63</v>
      </c>
      <c r="I723" s="1">
        <v>6.15</v>
      </c>
      <c r="J723" s="1">
        <v>1.2</v>
      </c>
      <c r="K723" s="6">
        <f>+H723-J723</f>
        <v>10.430000000000001</v>
      </c>
      <c r="L723" s="7" t="str">
        <f>IF(F723-G723&gt;0,"Win","Loss")</f>
        <v>Loss</v>
      </c>
      <c r="M723" s="14">
        <f t="shared" si="22"/>
        <v>-50</v>
      </c>
      <c r="N723" s="14">
        <f t="shared" si="23"/>
        <v>50</v>
      </c>
    </row>
    <row r="724" spans="1:14" ht="12.75" x14ac:dyDescent="0.2">
      <c r="A724" s="1" t="s">
        <v>996</v>
      </c>
      <c r="B724" s="3" t="s">
        <v>997</v>
      </c>
      <c r="C724" s="4">
        <v>43507</v>
      </c>
      <c r="D724" s="2">
        <v>0.70833333333333337</v>
      </c>
      <c r="E724" s="1" t="s">
        <v>85</v>
      </c>
      <c r="F724" s="5">
        <v>2</v>
      </c>
      <c r="G724" s="5">
        <v>1</v>
      </c>
      <c r="H724" s="1">
        <v>2.12</v>
      </c>
      <c r="I724" s="1">
        <v>2.87</v>
      </c>
      <c r="J724" s="1">
        <v>3.39</v>
      </c>
      <c r="K724" s="6">
        <f>+H724-J724</f>
        <v>-1.27</v>
      </c>
      <c r="L724" s="7" t="str">
        <f>IF(F724-G724&gt;0,"Win","Loss")</f>
        <v>Win</v>
      </c>
      <c r="M724" s="14">
        <f t="shared" si="22"/>
        <v>56</v>
      </c>
      <c r="N724" s="14">
        <f t="shared" si="23"/>
        <v>50</v>
      </c>
    </row>
    <row r="725" spans="1:14" ht="12.75" x14ac:dyDescent="0.2">
      <c r="A725" s="1" t="s">
        <v>1012</v>
      </c>
      <c r="B725" s="3" t="s">
        <v>1013</v>
      </c>
      <c r="C725" s="4">
        <v>43507</v>
      </c>
      <c r="D725" s="2">
        <v>0.95833333333333337</v>
      </c>
      <c r="E725" s="1" t="s">
        <v>532</v>
      </c>
      <c r="F725" s="5">
        <v>3</v>
      </c>
      <c r="G725" s="5">
        <v>2</v>
      </c>
      <c r="H725" s="1">
        <v>1.48</v>
      </c>
      <c r="I725" s="1">
        <v>4.25</v>
      </c>
      <c r="J725" s="1">
        <v>5.8</v>
      </c>
      <c r="K725" s="6">
        <f>+H725-J725</f>
        <v>-4.32</v>
      </c>
      <c r="L725" s="7" t="str">
        <f>IF(F725-G725&gt;0,"Win","Loss")</f>
        <v>Win</v>
      </c>
      <c r="M725" s="14">
        <f t="shared" si="22"/>
        <v>24</v>
      </c>
      <c r="N725" s="14">
        <f t="shared" si="23"/>
        <v>50</v>
      </c>
    </row>
    <row r="726" spans="1:14" ht="12.75" x14ac:dyDescent="0.2">
      <c r="A726" s="1" t="s">
        <v>1014</v>
      </c>
      <c r="B726" s="3" t="s">
        <v>1015</v>
      </c>
      <c r="C726" s="4">
        <v>43507</v>
      </c>
      <c r="D726" s="2">
        <v>0.70833333333333337</v>
      </c>
      <c r="E726" s="1" t="s">
        <v>560</v>
      </c>
      <c r="F726" s="5">
        <v>2</v>
      </c>
      <c r="G726" s="5">
        <v>1</v>
      </c>
      <c r="H726" s="1">
        <v>1.78</v>
      </c>
      <c r="I726" s="1">
        <v>3.65</v>
      </c>
      <c r="J726" s="1">
        <v>3.96</v>
      </c>
      <c r="K726" s="6">
        <f>+H726-J726</f>
        <v>-2.1799999999999997</v>
      </c>
      <c r="L726" s="7" t="str">
        <f>IF(F726-G726&gt;0,"Win","Loss")</f>
        <v>Win</v>
      </c>
      <c r="M726" s="14">
        <f t="shared" si="22"/>
        <v>39</v>
      </c>
      <c r="N726" s="14">
        <f t="shared" si="23"/>
        <v>50</v>
      </c>
    </row>
    <row r="727" spans="1:14" ht="12.75" x14ac:dyDescent="0.2">
      <c r="A727" s="1" t="s">
        <v>1002</v>
      </c>
      <c r="B727" s="3" t="s">
        <v>1003</v>
      </c>
      <c r="C727" s="4">
        <v>43508</v>
      </c>
      <c r="D727" s="2">
        <v>0.64583333333333337</v>
      </c>
      <c r="E727" s="1" t="s">
        <v>278</v>
      </c>
      <c r="F727" s="5">
        <v>1</v>
      </c>
      <c r="G727" s="5" t="s">
        <v>978</v>
      </c>
      <c r="H727" s="1">
        <v>1.95</v>
      </c>
      <c r="I727" s="1">
        <v>3.33</v>
      </c>
      <c r="J727" s="1">
        <v>3.9</v>
      </c>
      <c r="K727" s="6">
        <f>+H727-J727</f>
        <v>-1.95</v>
      </c>
      <c r="L727" s="7" t="str">
        <f>IF(F727-G727&gt;0,"Win","Loss")</f>
        <v>Win</v>
      </c>
      <c r="M727" s="14">
        <f t="shared" si="22"/>
        <v>47.5</v>
      </c>
      <c r="N727" s="14">
        <f t="shared" si="23"/>
        <v>50</v>
      </c>
    </row>
    <row r="728" spans="1:14" ht="12.75" x14ac:dyDescent="0.2">
      <c r="A728" s="1" t="s">
        <v>1002</v>
      </c>
      <c r="B728" s="3" t="s">
        <v>1003</v>
      </c>
      <c r="C728" s="4">
        <v>43508</v>
      </c>
      <c r="D728" s="2">
        <v>0.56944444444444442</v>
      </c>
      <c r="E728" s="1" t="s">
        <v>279</v>
      </c>
      <c r="F728" s="5">
        <v>4</v>
      </c>
      <c r="G728" s="5">
        <v>0</v>
      </c>
      <c r="H728" s="1">
        <v>1.1599999999999999</v>
      </c>
      <c r="I728" s="1">
        <v>7.24</v>
      </c>
      <c r="J728" s="1">
        <v>13.83</v>
      </c>
      <c r="K728" s="6">
        <f>+H728-J728</f>
        <v>-12.67</v>
      </c>
      <c r="L728" s="7" t="str">
        <f>IF(F728-G728&gt;0,"Win","Loss")</f>
        <v>Win</v>
      </c>
      <c r="M728" s="14">
        <f t="shared" si="22"/>
        <v>7.9999999999999929</v>
      </c>
      <c r="N728" s="14">
        <f t="shared" si="23"/>
        <v>50</v>
      </c>
    </row>
    <row r="729" spans="1:14" ht="12.75" x14ac:dyDescent="0.2">
      <c r="A729" s="1" t="s">
        <v>1002</v>
      </c>
      <c r="B729" s="3" t="s">
        <v>1003</v>
      </c>
      <c r="C729" s="4">
        <v>43508</v>
      </c>
      <c r="D729" s="2">
        <v>0.54166666666666663</v>
      </c>
      <c r="E729" s="1" t="s">
        <v>280</v>
      </c>
      <c r="F729" s="5">
        <v>2</v>
      </c>
      <c r="G729" s="5" t="s">
        <v>979</v>
      </c>
      <c r="H729" s="1">
        <v>3.02</v>
      </c>
      <c r="I729" s="1">
        <v>3.48</v>
      </c>
      <c r="J729" s="1">
        <v>2.2000000000000002</v>
      </c>
      <c r="K729" s="6">
        <f>+H729-J729</f>
        <v>0.81999999999999984</v>
      </c>
      <c r="L729" s="7" t="str">
        <f>IF(F729-G729&gt;0,"Win","Loss")</f>
        <v>Win</v>
      </c>
      <c r="M729" s="14">
        <f t="shared" si="22"/>
        <v>101</v>
      </c>
      <c r="N729" s="14">
        <f t="shared" si="23"/>
        <v>50</v>
      </c>
    </row>
    <row r="730" spans="1:14" ht="12.75" x14ac:dyDescent="0.2">
      <c r="A730" s="1" t="s">
        <v>1002</v>
      </c>
      <c r="B730" s="3" t="s">
        <v>1003</v>
      </c>
      <c r="C730" s="4">
        <v>43508</v>
      </c>
      <c r="D730" s="2">
        <v>0.5</v>
      </c>
      <c r="E730" s="1" t="s">
        <v>281</v>
      </c>
      <c r="F730" s="5">
        <v>0</v>
      </c>
      <c r="G730" s="5">
        <v>1</v>
      </c>
      <c r="H730" s="1">
        <v>1.69</v>
      </c>
      <c r="I730" s="1">
        <v>3.91</v>
      </c>
      <c r="J730" s="1">
        <v>4.5199999999999996</v>
      </c>
      <c r="K730" s="6">
        <f>+H730-J730</f>
        <v>-2.8299999999999996</v>
      </c>
      <c r="L730" s="7" t="str">
        <f>IF(F730-G730&gt;0,"Win","Loss")</f>
        <v>Loss</v>
      </c>
      <c r="M730" s="14">
        <f t="shared" si="22"/>
        <v>-50</v>
      </c>
      <c r="N730" s="14">
        <f t="shared" si="23"/>
        <v>50</v>
      </c>
    </row>
    <row r="731" spans="1:14" ht="12.75" x14ac:dyDescent="0.2">
      <c r="A731" s="1" t="s">
        <v>1002</v>
      </c>
      <c r="B731" s="3" t="s">
        <v>1003</v>
      </c>
      <c r="C731" s="4">
        <v>43508</v>
      </c>
      <c r="D731" s="2">
        <v>0.5</v>
      </c>
      <c r="E731" s="1" t="s">
        <v>282</v>
      </c>
      <c r="F731" s="5">
        <v>3</v>
      </c>
      <c r="G731" s="5">
        <v>1</v>
      </c>
      <c r="H731" s="1">
        <v>1.4</v>
      </c>
      <c r="I731" s="1">
        <v>4.55</v>
      </c>
      <c r="J731" s="1">
        <v>7.05</v>
      </c>
      <c r="K731" s="6">
        <f>+H731-J731</f>
        <v>-5.65</v>
      </c>
      <c r="L731" s="7" t="str">
        <f>IF(F731-G731&gt;0,"Win","Loss")</f>
        <v>Win</v>
      </c>
      <c r="M731" s="14">
        <f t="shared" si="22"/>
        <v>20</v>
      </c>
      <c r="N731" s="14">
        <f t="shared" si="23"/>
        <v>50</v>
      </c>
    </row>
    <row r="732" spans="1:14" ht="12.75" x14ac:dyDescent="0.2">
      <c r="A732" s="1" t="s">
        <v>1002</v>
      </c>
      <c r="B732" s="3" t="s">
        <v>1003</v>
      </c>
      <c r="C732" s="4">
        <v>43508</v>
      </c>
      <c r="D732" s="2">
        <v>0.45833333333333331</v>
      </c>
      <c r="E732" s="1" t="s">
        <v>283</v>
      </c>
      <c r="F732" s="5">
        <v>4</v>
      </c>
      <c r="G732" s="5">
        <v>2</v>
      </c>
      <c r="H732" s="1">
        <v>2.31</v>
      </c>
      <c r="I732" s="1">
        <v>3.2</v>
      </c>
      <c r="J732" s="1">
        <v>3.09</v>
      </c>
      <c r="K732" s="6">
        <f>+H732-J732</f>
        <v>-0.7799999999999998</v>
      </c>
      <c r="L732" s="7" t="str">
        <f>IF(F732-G732&gt;0,"Win","Loss")</f>
        <v>Win</v>
      </c>
      <c r="M732" s="14">
        <f t="shared" si="22"/>
        <v>65.5</v>
      </c>
      <c r="N732" s="14">
        <f t="shared" si="23"/>
        <v>50</v>
      </c>
    </row>
    <row r="733" spans="1:14" ht="12.75" x14ac:dyDescent="0.2">
      <c r="A733" s="1" t="s">
        <v>1002</v>
      </c>
      <c r="B733" s="3" t="s">
        <v>1003</v>
      </c>
      <c r="C733" s="4">
        <v>43508</v>
      </c>
      <c r="D733" s="2">
        <v>0.41666666666666669</v>
      </c>
      <c r="E733" s="1" t="s">
        <v>284</v>
      </c>
      <c r="F733" s="5">
        <v>2</v>
      </c>
      <c r="G733" s="5">
        <v>1</v>
      </c>
      <c r="H733" s="1">
        <v>1.58</v>
      </c>
      <c r="I733" s="1">
        <v>3.72</v>
      </c>
      <c r="J733" s="1">
        <v>5.77</v>
      </c>
      <c r="K733" s="6">
        <f>+H733-J733</f>
        <v>-4.1899999999999995</v>
      </c>
      <c r="L733" s="7" t="str">
        <f>IF(F733-G733&gt;0,"Win","Loss")</f>
        <v>Win</v>
      </c>
      <c r="M733" s="14">
        <f t="shared" si="22"/>
        <v>29</v>
      </c>
      <c r="N733" s="14">
        <f t="shared" si="23"/>
        <v>50</v>
      </c>
    </row>
    <row r="734" spans="1:14" ht="12.75" x14ac:dyDescent="0.2">
      <c r="A734" s="1" t="s">
        <v>1002</v>
      </c>
      <c r="B734" s="3" t="s">
        <v>1003</v>
      </c>
      <c r="C734" s="4">
        <v>43508</v>
      </c>
      <c r="D734" s="2">
        <v>0.33333333333333331</v>
      </c>
      <c r="E734" s="1" t="s">
        <v>285</v>
      </c>
      <c r="F734" s="5">
        <v>3</v>
      </c>
      <c r="G734" s="5" t="s">
        <v>979</v>
      </c>
      <c r="H734" s="1">
        <v>1.2</v>
      </c>
      <c r="I734" s="1">
        <v>6.58</v>
      </c>
      <c r="J734" s="1">
        <v>11.67</v>
      </c>
      <c r="K734" s="6">
        <f>+H734-J734</f>
        <v>-10.47</v>
      </c>
      <c r="L734" s="7" t="str">
        <f>IF(F734-G734&gt;0,"Win","Loss")</f>
        <v>Win</v>
      </c>
      <c r="M734" s="14">
        <f t="shared" si="22"/>
        <v>10</v>
      </c>
      <c r="N734" s="14">
        <f t="shared" si="23"/>
        <v>50</v>
      </c>
    </row>
    <row r="735" spans="1:14" ht="12.75" x14ac:dyDescent="0.2">
      <c r="A735" s="1" t="s">
        <v>993</v>
      </c>
      <c r="B735" s="3" t="s">
        <v>994</v>
      </c>
      <c r="C735" s="4">
        <v>43509</v>
      </c>
      <c r="D735" s="2">
        <v>0.77083333333333337</v>
      </c>
      <c r="E735" s="1" t="s">
        <v>9</v>
      </c>
      <c r="F735" s="5">
        <v>1</v>
      </c>
      <c r="G735" s="5">
        <v>0</v>
      </c>
      <c r="H735" s="1">
        <v>1.6</v>
      </c>
      <c r="I735" s="1">
        <v>3.31</v>
      </c>
      <c r="J735" s="1">
        <v>5.86</v>
      </c>
      <c r="K735" s="6">
        <f>+H735-J735</f>
        <v>-4.26</v>
      </c>
      <c r="L735" s="7" t="str">
        <f>IF(F735-G735&gt;0,"Win","Loss")</f>
        <v>Win</v>
      </c>
      <c r="M735" s="14">
        <f t="shared" si="22"/>
        <v>30</v>
      </c>
      <c r="N735" s="14">
        <f t="shared" si="23"/>
        <v>50</v>
      </c>
    </row>
    <row r="736" spans="1:14" ht="12.75" x14ac:dyDescent="0.2">
      <c r="A736" s="1" t="s">
        <v>993</v>
      </c>
      <c r="B736" s="3" t="s">
        <v>994</v>
      </c>
      <c r="C736" s="4">
        <v>43509</v>
      </c>
      <c r="D736" s="2">
        <v>0.64583333333333337</v>
      </c>
      <c r="E736" s="1" t="s">
        <v>10</v>
      </c>
      <c r="F736" s="5">
        <v>1</v>
      </c>
      <c r="G736" s="5" t="s">
        <v>980</v>
      </c>
      <c r="H736" s="1">
        <v>2.72</v>
      </c>
      <c r="I736" s="1">
        <v>2.78</v>
      </c>
      <c r="J736" s="1">
        <v>2.73</v>
      </c>
      <c r="K736" s="6">
        <f>+H736-J736</f>
        <v>-9.9999999999997868E-3</v>
      </c>
      <c r="L736" s="7" t="str">
        <f>IF(F736-G736&gt;0,"Win","Loss")</f>
        <v>Loss</v>
      </c>
      <c r="M736" s="14">
        <f t="shared" si="22"/>
        <v>-50</v>
      </c>
      <c r="N736" s="14">
        <f t="shared" si="23"/>
        <v>50</v>
      </c>
    </row>
    <row r="737" spans="1:14" ht="12.75" x14ac:dyDescent="0.2">
      <c r="A737" s="1" t="s">
        <v>1012</v>
      </c>
      <c r="B737" s="3" t="s">
        <v>1013</v>
      </c>
      <c r="C737" s="4">
        <v>43510</v>
      </c>
      <c r="D737" s="2">
        <v>0</v>
      </c>
      <c r="E737" s="1" t="s">
        <v>531</v>
      </c>
      <c r="F737" s="5">
        <v>4</v>
      </c>
      <c r="G737" s="5">
        <v>4</v>
      </c>
      <c r="H737" s="1">
        <v>1.96</v>
      </c>
      <c r="I737" s="1">
        <v>3.72</v>
      </c>
      <c r="J737" s="1">
        <v>3.3</v>
      </c>
      <c r="K737" s="6">
        <f>+H737-J737</f>
        <v>-1.3399999999999999</v>
      </c>
      <c r="L737" s="7" t="str">
        <f>IF(F737-G737&gt;0,"Win","Loss")</f>
        <v>Loss</v>
      </c>
      <c r="M737" s="14">
        <f t="shared" si="22"/>
        <v>-50</v>
      </c>
      <c r="N737" s="14">
        <f t="shared" si="23"/>
        <v>50</v>
      </c>
    </row>
    <row r="738" spans="1:14" ht="12.75" x14ac:dyDescent="0.2">
      <c r="A738" s="1" t="s">
        <v>996</v>
      </c>
      <c r="B738" s="3" t="s">
        <v>997</v>
      </c>
      <c r="C738" s="4">
        <v>43511</v>
      </c>
      <c r="D738" s="2">
        <v>0.70833333333333337</v>
      </c>
      <c r="E738" s="1" t="s">
        <v>84</v>
      </c>
      <c r="F738" s="5">
        <v>2</v>
      </c>
      <c r="G738" s="5">
        <v>1</v>
      </c>
      <c r="H738" s="1">
        <v>2.4900000000000002</v>
      </c>
      <c r="I738" s="1">
        <v>2.84</v>
      </c>
      <c r="J738" s="1">
        <v>2.79</v>
      </c>
      <c r="K738" s="6">
        <f>+H738-J738</f>
        <v>-0.29999999999999982</v>
      </c>
      <c r="L738" s="7" t="str">
        <f>IF(F738-G738&gt;0,"Win","Loss")</f>
        <v>Win</v>
      </c>
      <c r="M738" s="14">
        <f t="shared" si="22"/>
        <v>74.500000000000014</v>
      </c>
      <c r="N738" s="14">
        <f t="shared" si="23"/>
        <v>50</v>
      </c>
    </row>
    <row r="739" spans="1:14" ht="12.75" x14ac:dyDescent="0.2">
      <c r="A739" s="1" t="s">
        <v>993</v>
      </c>
      <c r="B739" s="3" t="s">
        <v>994</v>
      </c>
      <c r="C739" s="4">
        <v>43512</v>
      </c>
      <c r="D739" s="2">
        <v>0.64583333333333337</v>
      </c>
      <c r="E739" s="1" t="s">
        <v>8</v>
      </c>
      <c r="F739" s="5">
        <v>0</v>
      </c>
      <c r="G739" s="5" t="s">
        <v>979</v>
      </c>
      <c r="H739" s="1">
        <v>1.85</v>
      </c>
      <c r="I739" s="1">
        <v>3.28</v>
      </c>
      <c r="J739" s="1">
        <v>4.03</v>
      </c>
      <c r="K739" s="6">
        <f>+H739-J739</f>
        <v>-2.1800000000000002</v>
      </c>
      <c r="L739" s="7" t="str">
        <f>IF(F739-G739&gt;0,"Win","Loss")</f>
        <v>Loss</v>
      </c>
      <c r="M739" s="14">
        <f t="shared" si="22"/>
        <v>-50</v>
      </c>
      <c r="N739" s="14">
        <f t="shared" si="23"/>
        <v>50</v>
      </c>
    </row>
    <row r="740" spans="1:14" ht="12.75" x14ac:dyDescent="0.2">
      <c r="A740" s="1" t="s">
        <v>1012</v>
      </c>
      <c r="B740" s="3" t="s">
        <v>1013</v>
      </c>
      <c r="C740" s="4">
        <v>43512</v>
      </c>
      <c r="D740" s="2">
        <v>0.88541666666666663</v>
      </c>
      <c r="E740" s="1" t="s">
        <v>528</v>
      </c>
      <c r="F740" s="5">
        <v>2</v>
      </c>
      <c r="G740" s="5">
        <v>2</v>
      </c>
      <c r="H740" s="1">
        <v>1.74</v>
      </c>
      <c r="I740" s="1">
        <v>3.79</v>
      </c>
      <c r="J740" s="1">
        <v>4.0999999999999996</v>
      </c>
      <c r="K740" s="6">
        <f>+H740-J740</f>
        <v>-2.3599999999999994</v>
      </c>
      <c r="L740" s="7" t="str">
        <f>IF(F740-G740&gt;0,"Win","Loss")</f>
        <v>Loss</v>
      </c>
      <c r="M740" s="14">
        <f t="shared" si="22"/>
        <v>-50</v>
      </c>
      <c r="N740" s="14">
        <f t="shared" si="23"/>
        <v>50</v>
      </c>
    </row>
    <row r="741" spans="1:14" ht="12.75" x14ac:dyDescent="0.2">
      <c r="A741" s="1" t="s">
        <v>1012</v>
      </c>
      <c r="B741" s="3" t="s">
        <v>1013</v>
      </c>
      <c r="C741" s="4">
        <v>43512</v>
      </c>
      <c r="D741" s="2">
        <v>0.83333333333333337</v>
      </c>
      <c r="E741" s="1" t="s">
        <v>529</v>
      </c>
      <c r="F741" s="5">
        <v>2</v>
      </c>
      <c r="G741" s="5">
        <v>1</v>
      </c>
      <c r="H741" s="1">
        <v>1.4</v>
      </c>
      <c r="I741" s="1">
        <v>4.68</v>
      </c>
      <c r="J741" s="1">
        <v>6.42</v>
      </c>
      <c r="K741" s="6">
        <f>+H741-J741</f>
        <v>-5.0199999999999996</v>
      </c>
      <c r="L741" s="7" t="str">
        <f>IF(F741-G741&gt;0,"Win","Loss")</f>
        <v>Win</v>
      </c>
      <c r="M741" s="14">
        <f t="shared" si="22"/>
        <v>20</v>
      </c>
      <c r="N741" s="14">
        <f t="shared" si="23"/>
        <v>50</v>
      </c>
    </row>
    <row r="742" spans="1:14" ht="12.75" x14ac:dyDescent="0.2">
      <c r="A742" s="1" t="s">
        <v>1012</v>
      </c>
      <c r="B742" s="3" t="s">
        <v>1013</v>
      </c>
      <c r="C742" s="4">
        <v>43512</v>
      </c>
      <c r="D742" s="2">
        <v>0.79166666666666663</v>
      </c>
      <c r="E742" s="1" t="s">
        <v>530</v>
      </c>
      <c r="F742" s="5">
        <v>1</v>
      </c>
      <c r="G742" s="5">
        <v>0</v>
      </c>
      <c r="H742" s="1">
        <v>1.32</v>
      </c>
      <c r="I742" s="1">
        <v>4.95</v>
      </c>
      <c r="J742" s="1">
        <v>7.87</v>
      </c>
      <c r="K742" s="6">
        <f>+H742-J742</f>
        <v>-6.55</v>
      </c>
      <c r="L742" s="7" t="str">
        <f>IF(F742-G742&gt;0,"Win","Loss")</f>
        <v>Win</v>
      </c>
      <c r="M742" s="14">
        <f t="shared" si="22"/>
        <v>16</v>
      </c>
      <c r="N742" s="14">
        <f t="shared" si="23"/>
        <v>50</v>
      </c>
    </row>
    <row r="743" spans="1:14" ht="12.75" x14ac:dyDescent="0.2">
      <c r="A743" s="1" t="s">
        <v>1014</v>
      </c>
      <c r="B743" s="3" t="s">
        <v>1015</v>
      </c>
      <c r="C743" s="4">
        <v>43512</v>
      </c>
      <c r="D743" s="2">
        <v>0.70833333333333337</v>
      </c>
      <c r="E743" s="1" t="s">
        <v>558</v>
      </c>
      <c r="F743" s="5">
        <v>1</v>
      </c>
      <c r="G743" s="5">
        <v>3</v>
      </c>
      <c r="H743" s="1">
        <v>11.09</v>
      </c>
      <c r="I743" s="1">
        <v>6.36</v>
      </c>
      <c r="J743" s="1">
        <v>1.19</v>
      </c>
      <c r="K743" s="6">
        <f>+H743-J743</f>
        <v>9.9</v>
      </c>
      <c r="L743" s="7" t="str">
        <f>IF(F743-G743&gt;0,"Win","Loss")</f>
        <v>Loss</v>
      </c>
      <c r="M743" s="14">
        <f t="shared" si="22"/>
        <v>-50</v>
      </c>
      <c r="N743" s="14">
        <f t="shared" si="23"/>
        <v>50</v>
      </c>
    </row>
    <row r="744" spans="1:14" ht="12.75" x14ac:dyDescent="0.2">
      <c r="A744" s="1" t="s">
        <v>1014</v>
      </c>
      <c r="B744" s="3" t="s">
        <v>1015</v>
      </c>
      <c r="C744" s="4">
        <v>43512</v>
      </c>
      <c r="D744" s="2">
        <v>0.66666666666666663</v>
      </c>
      <c r="E744" s="1" t="s">
        <v>559</v>
      </c>
      <c r="F744" s="5">
        <v>1</v>
      </c>
      <c r="G744" s="5">
        <v>1</v>
      </c>
      <c r="H744" s="1">
        <v>2.36</v>
      </c>
      <c r="I744" s="1">
        <v>3.21</v>
      </c>
      <c r="J744" s="1">
        <v>2.87</v>
      </c>
      <c r="K744" s="6">
        <f>+H744-J744</f>
        <v>-0.51000000000000023</v>
      </c>
      <c r="L744" s="7" t="str">
        <f>IF(F744-G744&gt;0,"Win","Loss")</f>
        <v>Loss</v>
      </c>
      <c r="M744" s="14">
        <f t="shared" si="22"/>
        <v>-50</v>
      </c>
      <c r="N744" s="14">
        <f t="shared" si="23"/>
        <v>50</v>
      </c>
    </row>
    <row r="745" spans="1:14" ht="12.75" x14ac:dyDescent="0.2">
      <c r="A745" s="1" t="s">
        <v>1014</v>
      </c>
      <c r="B745" s="3" t="s">
        <v>1015</v>
      </c>
      <c r="C745" s="4">
        <v>43512</v>
      </c>
      <c r="D745" s="2">
        <v>0.625</v>
      </c>
      <c r="E745" s="1" t="s">
        <v>540</v>
      </c>
      <c r="F745" s="5">
        <v>2</v>
      </c>
      <c r="G745" s="5">
        <v>2</v>
      </c>
      <c r="H745" s="1">
        <v>1.77</v>
      </c>
      <c r="I745" s="1">
        <v>3.65</v>
      </c>
      <c r="J745" s="1">
        <v>4.17</v>
      </c>
      <c r="K745" s="6">
        <f>+H745-J745</f>
        <v>-2.4</v>
      </c>
      <c r="L745" s="7" t="str">
        <f>IF(F745-G745&gt;0,"Win","Loss")</f>
        <v>Loss</v>
      </c>
      <c r="M745" s="14">
        <f t="shared" si="22"/>
        <v>-50</v>
      </c>
      <c r="N745" s="14">
        <f t="shared" si="23"/>
        <v>50</v>
      </c>
    </row>
    <row r="746" spans="1:14" ht="12.75" x14ac:dyDescent="0.2">
      <c r="A746" s="1" t="s">
        <v>993</v>
      </c>
      <c r="B746" s="3" t="s">
        <v>994</v>
      </c>
      <c r="C746" s="4">
        <v>43513</v>
      </c>
      <c r="D746" s="2">
        <v>0.64583333333333337</v>
      </c>
      <c r="E746" s="1" t="s">
        <v>7</v>
      </c>
      <c r="F746" s="5">
        <v>2</v>
      </c>
      <c r="G746" s="5" t="s">
        <v>979</v>
      </c>
      <c r="H746" s="1">
        <v>3.59</v>
      </c>
      <c r="I746" s="1">
        <v>2.97</v>
      </c>
      <c r="J746" s="1">
        <v>2.09</v>
      </c>
      <c r="K746" s="6">
        <f>+H746-J746</f>
        <v>1.5</v>
      </c>
      <c r="L746" s="7" t="str">
        <f>IF(F746-G746&gt;0,"Win","Loss")</f>
        <v>Win</v>
      </c>
      <c r="M746" s="14">
        <f t="shared" si="22"/>
        <v>129.5</v>
      </c>
      <c r="N746" s="14">
        <f t="shared" si="23"/>
        <v>50</v>
      </c>
    </row>
    <row r="747" spans="1:14" ht="12.75" x14ac:dyDescent="0.2">
      <c r="A747" s="1" t="s">
        <v>996</v>
      </c>
      <c r="B747" s="3" t="s">
        <v>997</v>
      </c>
      <c r="C747" s="4">
        <v>43513</v>
      </c>
      <c r="D747" s="2">
        <v>0.66666666666666663</v>
      </c>
      <c r="E747" s="1" t="s">
        <v>80</v>
      </c>
      <c r="F747" s="5">
        <v>2</v>
      </c>
      <c r="G747" s="5">
        <v>0</v>
      </c>
      <c r="H747" s="1">
        <v>2.41</v>
      </c>
      <c r="I747" s="1">
        <v>2.86</v>
      </c>
      <c r="J747" s="1">
        <v>2.89</v>
      </c>
      <c r="K747" s="6">
        <f>+H747-J747</f>
        <v>-0.48</v>
      </c>
      <c r="L747" s="7" t="str">
        <f>IF(F747-G747&gt;0,"Win","Loss")</f>
        <v>Win</v>
      </c>
      <c r="M747" s="14">
        <f t="shared" si="22"/>
        <v>70.5</v>
      </c>
      <c r="N747" s="14">
        <f t="shared" si="23"/>
        <v>50</v>
      </c>
    </row>
    <row r="748" spans="1:14" ht="12.75" x14ac:dyDescent="0.2">
      <c r="A748" s="1" t="s">
        <v>996</v>
      </c>
      <c r="B748" s="3" t="s">
        <v>997</v>
      </c>
      <c r="C748" s="4">
        <v>43513</v>
      </c>
      <c r="D748" s="2">
        <v>0.66666666666666663</v>
      </c>
      <c r="E748" s="1" t="s">
        <v>81</v>
      </c>
      <c r="F748" s="5">
        <v>1</v>
      </c>
      <c r="G748" s="5">
        <v>1</v>
      </c>
      <c r="H748" s="1">
        <v>1.8</v>
      </c>
      <c r="I748" s="1">
        <v>3.08</v>
      </c>
      <c r="J748" s="1">
        <v>4.3600000000000003</v>
      </c>
      <c r="K748" s="6">
        <f>+H748-J748</f>
        <v>-2.5600000000000005</v>
      </c>
      <c r="L748" s="7" t="str">
        <f>IF(F748-G748&gt;0,"Win","Loss")</f>
        <v>Loss</v>
      </c>
      <c r="M748" s="14">
        <f t="shared" si="22"/>
        <v>-50</v>
      </c>
      <c r="N748" s="14">
        <f t="shared" si="23"/>
        <v>50</v>
      </c>
    </row>
    <row r="749" spans="1:14" ht="12.75" x14ac:dyDescent="0.2">
      <c r="A749" s="1" t="s">
        <v>996</v>
      </c>
      <c r="B749" s="3" t="s">
        <v>997</v>
      </c>
      <c r="C749" s="4">
        <v>43513</v>
      </c>
      <c r="D749" s="2">
        <v>0.54166666666666663</v>
      </c>
      <c r="E749" s="1" t="s">
        <v>82</v>
      </c>
      <c r="F749" s="5">
        <v>0</v>
      </c>
      <c r="G749" s="5">
        <v>1</v>
      </c>
      <c r="H749" s="1">
        <v>2.0099999999999998</v>
      </c>
      <c r="I749" s="1">
        <v>3.42</v>
      </c>
      <c r="J749" s="1">
        <v>3.02</v>
      </c>
      <c r="K749" s="6">
        <f>+H749-J749</f>
        <v>-1.0100000000000002</v>
      </c>
      <c r="L749" s="7" t="str">
        <f>IF(F749-G749&gt;0,"Win","Loss")</f>
        <v>Loss</v>
      </c>
      <c r="M749" s="14">
        <f t="shared" si="22"/>
        <v>-50</v>
      </c>
      <c r="N749" s="14">
        <f t="shared" si="23"/>
        <v>50</v>
      </c>
    </row>
    <row r="750" spans="1:14" ht="12.75" x14ac:dyDescent="0.2">
      <c r="A750" s="1" t="s">
        <v>996</v>
      </c>
      <c r="B750" s="3" t="s">
        <v>997</v>
      </c>
      <c r="C750" s="4">
        <v>43513</v>
      </c>
      <c r="D750" s="2">
        <v>0.54166666666666663</v>
      </c>
      <c r="E750" s="1" t="s">
        <v>83</v>
      </c>
      <c r="F750" s="5">
        <v>1</v>
      </c>
      <c r="G750" s="5">
        <v>0</v>
      </c>
      <c r="H750" s="1">
        <v>3</v>
      </c>
      <c r="I750" s="1">
        <v>2.85</v>
      </c>
      <c r="J750" s="1">
        <v>2.2999999999999998</v>
      </c>
      <c r="K750" s="6">
        <f>+H750-J750</f>
        <v>0.70000000000000018</v>
      </c>
      <c r="L750" s="7" t="str">
        <f>IF(F750-G750&gt;0,"Win","Loss")</f>
        <v>Win</v>
      </c>
      <c r="M750" s="14">
        <f t="shared" si="22"/>
        <v>100</v>
      </c>
      <c r="N750" s="14">
        <f t="shared" si="23"/>
        <v>50</v>
      </c>
    </row>
    <row r="751" spans="1:14" ht="12.75" x14ac:dyDescent="0.2">
      <c r="A751" s="1" t="s">
        <v>998</v>
      </c>
      <c r="B751" s="3" t="s">
        <v>999</v>
      </c>
      <c r="C751" s="4">
        <v>43513</v>
      </c>
      <c r="D751" s="2">
        <v>0.45833333333333331</v>
      </c>
      <c r="E751" s="1" t="s">
        <v>130</v>
      </c>
      <c r="F751" s="5">
        <v>1</v>
      </c>
      <c r="G751" s="5">
        <v>1</v>
      </c>
      <c r="H751" s="1">
        <v>9.1</v>
      </c>
      <c r="I751" s="1">
        <v>4.6100000000000003</v>
      </c>
      <c r="J751" s="1">
        <v>1.29</v>
      </c>
      <c r="K751" s="6">
        <f>+H751-J751</f>
        <v>7.81</v>
      </c>
      <c r="L751" s="7" t="str">
        <f>IF(F751-G751&gt;0,"Win","Loss")</f>
        <v>Loss</v>
      </c>
      <c r="M751" s="14">
        <f t="shared" si="22"/>
        <v>-50</v>
      </c>
      <c r="N751" s="14">
        <f t="shared" si="23"/>
        <v>50</v>
      </c>
    </row>
    <row r="752" spans="1:14" ht="12.75" x14ac:dyDescent="0.2">
      <c r="A752" s="1" t="s">
        <v>1000</v>
      </c>
      <c r="B752" s="3" t="s">
        <v>1001</v>
      </c>
      <c r="C752" s="4">
        <v>43513</v>
      </c>
      <c r="D752" s="2">
        <v>0.89583333333333337</v>
      </c>
      <c r="E752" s="1" t="s">
        <v>187</v>
      </c>
      <c r="F752" s="5">
        <v>1</v>
      </c>
      <c r="G752" s="5">
        <v>1</v>
      </c>
      <c r="H752" s="1">
        <v>2.02</v>
      </c>
      <c r="I752" s="1">
        <v>2.95</v>
      </c>
      <c r="J752" s="1">
        <v>3.92</v>
      </c>
      <c r="K752" s="6">
        <f>+H752-J752</f>
        <v>-1.9</v>
      </c>
      <c r="L752" s="7" t="str">
        <f>IF(F752-G752&gt;0,"Win","Loss")</f>
        <v>Loss</v>
      </c>
      <c r="M752" s="14">
        <f t="shared" si="22"/>
        <v>-50</v>
      </c>
      <c r="N752" s="14">
        <f t="shared" si="23"/>
        <v>50</v>
      </c>
    </row>
    <row r="753" spans="1:14" ht="12.75" x14ac:dyDescent="0.2">
      <c r="A753" s="1" t="s">
        <v>1010</v>
      </c>
      <c r="B753" s="3" t="s">
        <v>1011</v>
      </c>
      <c r="C753" s="4">
        <v>43513</v>
      </c>
      <c r="D753" s="2">
        <v>0.58333333333333337</v>
      </c>
      <c r="E753" s="1" t="s">
        <v>455</v>
      </c>
      <c r="F753" s="5">
        <v>1</v>
      </c>
      <c r="G753" s="5">
        <v>0</v>
      </c>
      <c r="H753" s="1">
        <v>4.25</v>
      </c>
      <c r="I753" s="1">
        <v>3.7</v>
      </c>
      <c r="J753" s="1">
        <v>1.6</v>
      </c>
      <c r="K753" s="6">
        <f>+H753-J753</f>
        <v>2.65</v>
      </c>
      <c r="L753" s="7" t="str">
        <f>IF(F753-G753&gt;0,"Win","Loss")</f>
        <v>Win</v>
      </c>
      <c r="M753" s="14">
        <f t="shared" si="22"/>
        <v>162.5</v>
      </c>
      <c r="N753" s="14">
        <f t="shared" si="23"/>
        <v>50</v>
      </c>
    </row>
    <row r="754" spans="1:14" ht="12.75" x14ac:dyDescent="0.2">
      <c r="A754" s="1" t="s">
        <v>1010</v>
      </c>
      <c r="B754" s="3" t="s">
        <v>1011</v>
      </c>
      <c r="C754" s="4">
        <v>43513</v>
      </c>
      <c r="D754" s="2">
        <v>0.58333333333333337</v>
      </c>
      <c r="E754" s="1" t="s">
        <v>456</v>
      </c>
      <c r="F754" s="5">
        <v>2</v>
      </c>
      <c r="G754" s="5">
        <v>1</v>
      </c>
      <c r="H754" s="1">
        <v>3.05</v>
      </c>
      <c r="I754" s="1">
        <v>3.3</v>
      </c>
      <c r="J754" s="1">
        <v>2</v>
      </c>
      <c r="K754" s="6">
        <f>+H754-J754</f>
        <v>1.0499999999999998</v>
      </c>
      <c r="L754" s="7" t="str">
        <f>IF(F754-G754&gt;0,"Win","Loss")</f>
        <v>Win</v>
      </c>
      <c r="M754" s="14">
        <f t="shared" si="22"/>
        <v>102.5</v>
      </c>
      <c r="N754" s="14">
        <f t="shared" si="23"/>
        <v>50</v>
      </c>
    </row>
    <row r="755" spans="1:14" ht="12.75" x14ac:dyDescent="0.2">
      <c r="A755" s="1" t="s">
        <v>1010</v>
      </c>
      <c r="B755" s="3" t="s">
        <v>1011</v>
      </c>
      <c r="C755" s="4">
        <v>43513</v>
      </c>
      <c r="D755" s="2">
        <v>0.58333333333333337</v>
      </c>
      <c r="E755" s="1" t="s">
        <v>457</v>
      </c>
      <c r="F755" s="5">
        <v>0</v>
      </c>
      <c r="G755" s="5">
        <v>1</v>
      </c>
      <c r="H755" s="1">
        <v>2.1</v>
      </c>
      <c r="I755" s="1">
        <v>3.4</v>
      </c>
      <c r="J755" s="1">
        <v>2.8</v>
      </c>
      <c r="K755" s="6">
        <f>+H755-J755</f>
        <v>-0.69999999999999973</v>
      </c>
      <c r="L755" s="7" t="str">
        <f>IF(F755-G755&gt;0,"Win","Loss")</f>
        <v>Loss</v>
      </c>
      <c r="M755" s="14">
        <f t="shared" si="22"/>
        <v>-50</v>
      </c>
      <c r="N755" s="14">
        <f t="shared" si="23"/>
        <v>50</v>
      </c>
    </row>
    <row r="756" spans="1:14" ht="12.75" x14ac:dyDescent="0.2">
      <c r="A756" s="1" t="s">
        <v>1010</v>
      </c>
      <c r="B756" s="3" t="s">
        <v>1011</v>
      </c>
      <c r="C756" s="4">
        <v>43513</v>
      </c>
      <c r="D756" s="2">
        <v>0.58333333333333337</v>
      </c>
      <c r="E756" s="1" t="s">
        <v>458</v>
      </c>
      <c r="F756" s="5">
        <v>2</v>
      </c>
      <c r="G756" s="5">
        <v>1</v>
      </c>
      <c r="H756" s="1">
        <v>1.45</v>
      </c>
      <c r="I756" s="1">
        <v>3.8</v>
      </c>
      <c r="J756" s="1">
        <v>5.5</v>
      </c>
      <c r="K756" s="6">
        <f>+H756-J756</f>
        <v>-4.05</v>
      </c>
      <c r="L756" s="7" t="str">
        <f>IF(F756-G756&gt;0,"Win","Loss")</f>
        <v>Win</v>
      </c>
      <c r="M756" s="14">
        <f t="shared" si="22"/>
        <v>22.5</v>
      </c>
      <c r="N756" s="14">
        <f t="shared" si="23"/>
        <v>50</v>
      </c>
    </row>
    <row r="757" spans="1:14" ht="12.75" x14ac:dyDescent="0.2">
      <c r="A757" s="1" t="s">
        <v>1010</v>
      </c>
      <c r="B757" s="3" t="s">
        <v>1011</v>
      </c>
      <c r="C757" s="4">
        <v>43513</v>
      </c>
      <c r="D757" s="2">
        <v>0.58333333333333337</v>
      </c>
      <c r="E757" s="1" t="s">
        <v>459</v>
      </c>
      <c r="F757" s="5">
        <v>0</v>
      </c>
      <c r="G757" s="5">
        <v>1</v>
      </c>
      <c r="H757" s="1">
        <v>1.8</v>
      </c>
      <c r="I757" s="1">
        <v>3.3</v>
      </c>
      <c r="J757" s="1">
        <v>3.6</v>
      </c>
      <c r="K757" s="6">
        <f>+H757-J757</f>
        <v>-1.8</v>
      </c>
      <c r="L757" s="7" t="str">
        <f>IF(F757-G757&gt;0,"Win","Loss")</f>
        <v>Loss</v>
      </c>
      <c r="M757" s="14">
        <f t="shared" si="22"/>
        <v>-50</v>
      </c>
      <c r="N757" s="14">
        <f t="shared" si="23"/>
        <v>50</v>
      </c>
    </row>
    <row r="758" spans="1:14" ht="12.75" x14ac:dyDescent="0.2">
      <c r="A758" s="1" t="s">
        <v>1010</v>
      </c>
      <c r="B758" s="3" t="s">
        <v>1011</v>
      </c>
      <c r="C758" s="4">
        <v>43513</v>
      </c>
      <c r="D758" s="2">
        <v>0.58333333333333337</v>
      </c>
      <c r="E758" s="1" t="s">
        <v>460</v>
      </c>
      <c r="F758" s="5">
        <v>0</v>
      </c>
      <c r="G758" s="5">
        <v>2</v>
      </c>
      <c r="H758" s="1">
        <v>2</v>
      </c>
      <c r="I758" s="1">
        <v>3.4</v>
      </c>
      <c r="J758" s="1">
        <v>2.95</v>
      </c>
      <c r="K758" s="6">
        <f>+H758-J758</f>
        <v>-0.95000000000000018</v>
      </c>
      <c r="L758" s="7" t="str">
        <f>IF(F758-G758&gt;0,"Win","Loss")</f>
        <v>Loss</v>
      </c>
      <c r="M758" s="14">
        <f t="shared" si="22"/>
        <v>-50</v>
      </c>
      <c r="N758" s="14">
        <f t="shared" si="23"/>
        <v>50</v>
      </c>
    </row>
    <row r="759" spans="1:14" ht="12.75" x14ac:dyDescent="0.2">
      <c r="A759" s="1" t="s">
        <v>1010</v>
      </c>
      <c r="B759" s="3" t="s">
        <v>1011</v>
      </c>
      <c r="C759" s="4">
        <v>43513</v>
      </c>
      <c r="D759" s="2">
        <v>0.58333333333333337</v>
      </c>
      <c r="E759" s="1" t="s">
        <v>461</v>
      </c>
      <c r="F759" s="5">
        <v>4</v>
      </c>
      <c r="G759" s="5">
        <v>3</v>
      </c>
      <c r="H759" s="1">
        <v>1.75</v>
      </c>
      <c r="I759" s="1">
        <v>3.4</v>
      </c>
      <c r="J759" s="1">
        <v>3.8</v>
      </c>
      <c r="K759" s="6">
        <f>+H759-J759</f>
        <v>-2.0499999999999998</v>
      </c>
      <c r="L759" s="7" t="str">
        <f>IF(F759-G759&gt;0,"Win","Loss")</f>
        <v>Win</v>
      </c>
      <c r="M759" s="14">
        <f t="shared" si="22"/>
        <v>37.5</v>
      </c>
      <c r="N759" s="14">
        <f t="shared" si="23"/>
        <v>50</v>
      </c>
    </row>
    <row r="760" spans="1:14" ht="12.75" x14ac:dyDescent="0.2">
      <c r="A760" s="1" t="s">
        <v>1012</v>
      </c>
      <c r="B760" s="3" t="s">
        <v>1013</v>
      </c>
      <c r="C760" s="4">
        <v>43513</v>
      </c>
      <c r="D760" s="2">
        <v>0.97916666666666663</v>
      </c>
      <c r="E760" s="1" t="s">
        <v>524</v>
      </c>
      <c r="F760" s="5">
        <v>0</v>
      </c>
      <c r="G760" s="5">
        <v>0</v>
      </c>
      <c r="H760" s="1">
        <v>3.48</v>
      </c>
      <c r="I760" s="1">
        <v>3.43</v>
      </c>
      <c r="J760" s="1">
        <v>1.99</v>
      </c>
      <c r="K760" s="6">
        <f>+H760-J760</f>
        <v>1.49</v>
      </c>
      <c r="L760" s="7" t="str">
        <f>IF(F760-G760&gt;0,"Win","Loss")</f>
        <v>Loss</v>
      </c>
      <c r="M760" s="14">
        <f t="shared" si="22"/>
        <v>-50</v>
      </c>
      <c r="N760" s="14">
        <f t="shared" si="23"/>
        <v>50</v>
      </c>
    </row>
    <row r="761" spans="1:14" ht="12.75" x14ac:dyDescent="0.2">
      <c r="A761" s="1" t="s">
        <v>1012</v>
      </c>
      <c r="B761" s="3" t="s">
        <v>1013</v>
      </c>
      <c r="C761" s="4">
        <v>43513</v>
      </c>
      <c r="D761" s="2">
        <v>0.88541666666666663</v>
      </c>
      <c r="E761" s="1" t="s">
        <v>525</v>
      </c>
      <c r="F761" s="5">
        <v>0</v>
      </c>
      <c r="G761" s="5">
        <v>1</v>
      </c>
      <c r="H761" s="1">
        <v>2</v>
      </c>
      <c r="I761" s="1">
        <v>3.48</v>
      </c>
      <c r="J761" s="1">
        <v>3.42</v>
      </c>
      <c r="K761" s="6">
        <f>+H761-J761</f>
        <v>-1.42</v>
      </c>
      <c r="L761" s="7" t="str">
        <f>IF(F761-G761&gt;0,"Win","Loss")</f>
        <v>Loss</v>
      </c>
      <c r="M761" s="14">
        <f t="shared" si="22"/>
        <v>-50</v>
      </c>
      <c r="N761" s="14">
        <f t="shared" si="23"/>
        <v>50</v>
      </c>
    </row>
    <row r="762" spans="1:14" ht="12.75" x14ac:dyDescent="0.2">
      <c r="A762" s="1" t="s">
        <v>1012</v>
      </c>
      <c r="B762" s="3" t="s">
        <v>1013</v>
      </c>
      <c r="C762" s="4">
        <v>43513</v>
      </c>
      <c r="D762" s="2">
        <v>0.79166666666666663</v>
      </c>
      <c r="E762" s="1" t="s">
        <v>526</v>
      </c>
      <c r="F762" s="5">
        <v>4</v>
      </c>
      <c r="G762" s="5">
        <v>1</v>
      </c>
      <c r="H762" s="1">
        <v>1.39</v>
      </c>
      <c r="I762" s="1">
        <v>4.7</v>
      </c>
      <c r="J762" s="1">
        <v>6.56</v>
      </c>
      <c r="K762" s="6">
        <f>+H762-J762</f>
        <v>-5.17</v>
      </c>
      <c r="L762" s="7" t="str">
        <f>IF(F762-G762&gt;0,"Win","Loss")</f>
        <v>Win</v>
      </c>
      <c r="M762" s="14">
        <f t="shared" si="22"/>
        <v>19.5</v>
      </c>
      <c r="N762" s="14">
        <f t="shared" si="23"/>
        <v>50</v>
      </c>
    </row>
    <row r="763" spans="1:14" ht="12.75" x14ac:dyDescent="0.2">
      <c r="A763" s="1" t="s">
        <v>1012</v>
      </c>
      <c r="B763" s="3" t="s">
        <v>1013</v>
      </c>
      <c r="C763" s="4">
        <v>43513</v>
      </c>
      <c r="D763" s="2">
        <v>0.79166666666666663</v>
      </c>
      <c r="E763" s="1" t="s">
        <v>527</v>
      </c>
      <c r="F763" s="5">
        <v>2</v>
      </c>
      <c r="G763" s="5">
        <v>2</v>
      </c>
      <c r="H763" s="1">
        <v>1.19</v>
      </c>
      <c r="I763" s="1">
        <v>6.68</v>
      </c>
      <c r="J763" s="1">
        <v>10.41</v>
      </c>
      <c r="K763" s="6">
        <f>+H763-J763</f>
        <v>-9.2200000000000006</v>
      </c>
      <c r="L763" s="7" t="str">
        <f>IF(F763-G763&gt;0,"Win","Loss")</f>
        <v>Loss</v>
      </c>
      <c r="M763" s="14">
        <f t="shared" si="22"/>
        <v>-50</v>
      </c>
      <c r="N763" s="14">
        <f t="shared" si="23"/>
        <v>50</v>
      </c>
    </row>
    <row r="764" spans="1:14" ht="12.75" x14ac:dyDescent="0.2">
      <c r="A764" s="1" t="s">
        <v>1014</v>
      </c>
      <c r="B764" s="3" t="s">
        <v>1015</v>
      </c>
      <c r="C764" s="4">
        <v>43513</v>
      </c>
      <c r="D764" s="2">
        <v>0.66666666666666663</v>
      </c>
      <c r="E764" s="1" t="s">
        <v>555</v>
      </c>
      <c r="F764" s="5">
        <v>1</v>
      </c>
      <c r="G764" s="5">
        <v>1</v>
      </c>
      <c r="H764" s="1">
        <v>2.0299999999999998</v>
      </c>
      <c r="I764" s="1">
        <v>3.62</v>
      </c>
      <c r="J764" s="1">
        <v>3.21</v>
      </c>
      <c r="K764" s="6">
        <f>+H764-J764</f>
        <v>-1.1800000000000002</v>
      </c>
      <c r="L764" s="7" t="str">
        <f>IF(F764-G764&gt;0,"Win","Loss")</f>
        <v>Loss</v>
      </c>
      <c r="M764" s="14">
        <f t="shared" si="22"/>
        <v>-50</v>
      </c>
      <c r="N764" s="14">
        <f t="shared" si="23"/>
        <v>50</v>
      </c>
    </row>
    <row r="765" spans="1:14" ht="12.75" x14ac:dyDescent="0.2">
      <c r="A765" s="1" t="s">
        <v>1014</v>
      </c>
      <c r="B765" s="3" t="s">
        <v>1015</v>
      </c>
      <c r="C765" s="4">
        <v>43513</v>
      </c>
      <c r="D765" s="2">
        <v>0.625</v>
      </c>
      <c r="E765" s="1" t="s">
        <v>556</v>
      </c>
      <c r="F765" s="5">
        <v>3</v>
      </c>
      <c r="G765" s="5">
        <v>2</v>
      </c>
      <c r="H765" s="1">
        <v>1.61</v>
      </c>
      <c r="I765" s="1">
        <v>3.96</v>
      </c>
      <c r="J765" s="1">
        <v>4.82</v>
      </c>
      <c r="K765" s="6">
        <f>+H765-J765</f>
        <v>-3.21</v>
      </c>
      <c r="L765" s="7" t="str">
        <f>IF(F765-G765&gt;0,"Win","Loss")</f>
        <v>Win</v>
      </c>
      <c r="M765" s="14">
        <f t="shared" si="22"/>
        <v>30.5</v>
      </c>
      <c r="N765" s="14">
        <f t="shared" si="23"/>
        <v>50</v>
      </c>
    </row>
    <row r="766" spans="1:14" ht="12.75" x14ac:dyDescent="0.2">
      <c r="A766" s="1" t="s">
        <v>1014</v>
      </c>
      <c r="B766" s="3" t="s">
        <v>1015</v>
      </c>
      <c r="C766" s="4">
        <v>43513</v>
      </c>
      <c r="D766" s="2">
        <v>0.58333333333333337</v>
      </c>
      <c r="E766" s="1" t="s">
        <v>557</v>
      </c>
      <c r="F766" s="5">
        <v>0</v>
      </c>
      <c r="G766" s="5">
        <v>0</v>
      </c>
      <c r="H766" s="1">
        <v>2.35</v>
      </c>
      <c r="I766" s="1">
        <v>3.22</v>
      </c>
      <c r="J766" s="1">
        <v>2.9</v>
      </c>
      <c r="K766" s="6">
        <f>+H766-J766</f>
        <v>-0.54999999999999982</v>
      </c>
      <c r="L766" s="7" t="str">
        <f>IF(F766-G766&gt;0,"Win","Loss")</f>
        <v>Loss</v>
      </c>
      <c r="M766" s="14">
        <f t="shared" si="22"/>
        <v>-50</v>
      </c>
      <c r="N766" s="14">
        <f t="shared" si="23"/>
        <v>50</v>
      </c>
    </row>
    <row r="767" spans="1:14" ht="12.75" x14ac:dyDescent="0.2">
      <c r="A767" s="1" t="s">
        <v>1000</v>
      </c>
      <c r="B767" s="3" t="s">
        <v>1001</v>
      </c>
      <c r="C767" s="4">
        <v>43514</v>
      </c>
      <c r="D767" s="2">
        <v>0</v>
      </c>
      <c r="E767" s="1" t="s">
        <v>186</v>
      </c>
      <c r="F767" s="5">
        <v>0</v>
      </c>
      <c r="G767" s="5">
        <v>1</v>
      </c>
      <c r="H767" s="1">
        <v>2.12</v>
      </c>
      <c r="I767" s="1">
        <v>2.87</v>
      </c>
      <c r="J767" s="1">
        <v>3.8</v>
      </c>
      <c r="K767" s="6">
        <f>+H767-J767</f>
        <v>-1.6799999999999997</v>
      </c>
      <c r="L767" s="7" t="str">
        <f>IF(F767-G767&gt;0,"Win","Loss")</f>
        <v>Loss</v>
      </c>
      <c r="M767" s="14">
        <f t="shared" si="22"/>
        <v>-50</v>
      </c>
      <c r="N767" s="14">
        <f t="shared" si="23"/>
        <v>50</v>
      </c>
    </row>
    <row r="768" spans="1:14" ht="12.75" x14ac:dyDescent="0.2">
      <c r="A768" s="1" t="s">
        <v>1002</v>
      </c>
      <c r="B768" s="3" t="s">
        <v>1003</v>
      </c>
      <c r="C768" s="4">
        <v>43515</v>
      </c>
      <c r="D768" s="2">
        <v>0.625</v>
      </c>
      <c r="E768" s="1" t="s">
        <v>270</v>
      </c>
      <c r="F768" s="5">
        <v>2</v>
      </c>
      <c r="G768" s="5">
        <v>3</v>
      </c>
      <c r="H768" s="1">
        <v>2.4</v>
      </c>
      <c r="I768" s="1">
        <v>2.97</v>
      </c>
      <c r="J768" s="1">
        <v>3.15</v>
      </c>
      <c r="K768" s="6">
        <f>+H768-J768</f>
        <v>-0.75</v>
      </c>
      <c r="L768" s="7" t="str">
        <f>IF(F768-G768&gt;0,"Win","Loss")</f>
        <v>Loss</v>
      </c>
      <c r="M768" s="14">
        <f t="shared" si="22"/>
        <v>-50</v>
      </c>
      <c r="N768" s="14">
        <f t="shared" si="23"/>
        <v>50</v>
      </c>
    </row>
    <row r="769" spans="1:14" ht="12.75" x14ac:dyDescent="0.2">
      <c r="A769" s="1" t="s">
        <v>1002</v>
      </c>
      <c r="B769" s="3" t="s">
        <v>1003</v>
      </c>
      <c r="C769" s="4">
        <v>43515</v>
      </c>
      <c r="D769" s="2">
        <v>0.625</v>
      </c>
      <c r="E769" s="1" t="s">
        <v>271</v>
      </c>
      <c r="F769" s="5">
        <v>1</v>
      </c>
      <c r="G769" s="5">
        <v>2</v>
      </c>
      <c r="H769" s="1">
        <v>2.79</v>
      </c>
      <c r="I769" s="1">
        <v>3.25</v>
      </c>
      <c r="J769" s="1">
        <v>2.46</v>
      </c>
      <c r="K769" s="6">
        <f>+H769-J769</f>
        <v>0.33000000000000007</v>
      </c>
      <c r="L769" s="7" t="str">
        <f>IF(F769-G769&gt;0,"Win","Loss")</f>
        <v>Loss</v>
      </c>
      <c r="M769" s="14">
        <f t="shared" si="22"/>
        <v>-50</v>
      </c>
      <c r="N769" s="14">
        <f t="shared" si="23"/>
        <v>50</v>
      </c>
    </row>
    <row r="770" spans="1:14" ht="12.75" x14ac:dyDescent="0.2">
      <c r="A770" s="1" t="s">
        <v>1002</v>
      </c>
      <c r="B770" s="3" t="s">
        <v>1003</v>
      </c>
      <c r="C770" s="4">
        <v>43515</v>
      </c>
      <c r="D770" s="2">
        <v>0.625</v>
      </c>
      <c r="E770" s="1" t="s">
        <v>272</v>
      </c>
      <c r="F770" s="5">
        <v>4</v>
      </c>
      <c r="G770" s="5">
        <v>0</v>
      </c>
      <c r="H770" s="1">
        <v>1.21</v>
      </c>
      <c r="I770" s="1">
        <v>6</v>
      </c>
      <c r="J770" s="1">
        <v>11.83</v>
      </c>
      <c r="K770" s="6">
        <f>+H770-J770</f>
        <v>-10.620000000000001</v>
      </c>
      <c r="L770" s="7" t="str">
        <f>IF(F770-G770&gt;0,"Win","Loss")</f>
        <v>Win</v>
      </c>
      <c r="M770" s="14">
        <f t="shared" si="22"/>
        <v>10.5</v>
      </c>
      <c r="N770" s="14">
        <f t="shared" si="23"/>
        <v>50</v>
      </c>
    </row>
    <row r="771" spans="1:14" ht="12.75" x14ac:dyDescent="0.2">
      <c r="A771" s="1" t="s">
        <v>1002</v>
      </c>
      <c r="B771" s="3" t="s">
        <v>1003</v>
      </c>
      <c r="C771" s="4">
        <v>43515</v>
      </c>
      <c r="D771" s="2">
        <v>0.625</v>
      </c>
      <c r="E771" s="1" t="s">
        <v>273</v>
      </c>
      <c r="F771" s="5">
        <v>3</v>
      </c>
      <c r="G771" s="5">
        <v>1</v>
      </c>
      <c r="H771" s="1">
        <v>1.73</v>
      </c>
      <c r="I771" s="1">
        <v>3.66</v>
      </c>
      <c r="J771" s="1">
        <v>4.41</v>
      </c>
      <c r="K771" s="6">
        <f>+H771-J771</f>
        <v>-2.68</v>
      </c>
      <c r="L771" s="7" t="str">
        <f>IF(F771-G771&gt;0,"Win","Loss")</f>
        <v>Win</v>
      </c>
      <c r="M771" s="14">
        <f t="shared" si="22"/>
        <v>36.5</v>
      </c>
      <c r="N771" s="14">
        <f t="shared" si="23"/>
        <v>50</v>
      </c>
    </row>
    <row r="772" spans="1:14" ht="12.75" x14ac:dyDescent="0.2">
      <c r="A772" s="1" t="s">
        <v>1002</v>
      </c>
      <c r="B772" s="3" t="s">
        <v>1003</v>
      </c>
      <c r="C772" s="4">
        <v>43515</v>
      </c>
      <c r="D772" s="2">
        <v>0.4375</v>
      </c>
      <c r="E772" s="1" t="s">
        <v>274</v>
      </c>
      <c r="F772" s="5">
        <v>5</v>
      </c>
      <c r="G772" s="5">
        <v>1</v>
      </c>
      <c r="H772" s="1">
        <v>1.08</v>
      </c>
      <c r="I772" s="1">
        <v>10.01</v>
      </c>
      <c r="J772" s="1">
        <v>21.76</v>
      </c>
      <c r="K772" s="6">
        <f>+H772-J772</f>
        <v>-20.68</v>
      </c>
      <c r="L772" s="7" t="str">
        <f>IF(F772-G772&gt;0,"Win","Loss")</f>
        <v>Win</v>
      </c>
      <c r="M772" s="14">
        <f t="shared" si="22"/>
        <v>4</v>
      </c>
      <c r="N772" s="14">
        <f t="shared" si="23"/>
        <v>50</v>
      </c>
    </row>
    <row r="773" spans="1:14" ht="12.75" x14ac:dyDescent="0.2">
      <c r="A773" s="1" t="s">
        <v>1002</v>
      </c>
      <c r="B773" s="3" t="s">
        <v>1003</v>
      </c>
      <c r="C773" s="4">
        <v>43515</v>
      </c>
      <c r="D773" s="2">
        <v>0.41666666666666669</v>
      </c>
      <c r="E773" s="1" t="s">
        <v>275</v>
      </c>
      <c r="F773" s="5">
        <v>1</v>
      </c>
      <c r="G773" s="5" t="s">
        <v>978</v>
      </c>
      <c r="H773" s="1">
        <v>1.32</v>
      </c>
      <c r="I773" s="1">
        <v>5.0599999999999996</v>
      </c>
      <c r="J773" s="1">
        <v>8.18</v>
      </c>
      <c r="K773" s="6">
        <f>+H773-J773</f>
        <v>-6.8599999999999994</v>
      </c>
      <c r="L773" s="7" t="str">
        <f>IF(F773-G773&gt;0,"Win","Loss")</f>
        <v>Win</v>
      </c>
      <c r="M773" s="14">
        <f t="shared" si="22"/>
        <v>16</v>
      </c>
      <c r="N773" s="14">
        <f t="shared" si="23"/>
        <v>50</v>
      </c>
    </row>
    <row r="774" spans="1:14" ht="12.75" x14ac:dyDescent="0.2">
      <c r="A774" s="1" t="s">
        <v>1002</v>
      </c>
      <c r="B774" s="3" t="s">
        <v>1003</v>
      </c>
      <c r="C774" s="4">
        <v>43515</v>
      </c>
      <c r="D774" s="2">
        <v>0.41666666666666669</v>
      </c>
      <c r="E774" s="1" t="s">
        <v>276</v>
      </c>
      <c r="F774" s="5">
        <v>4</v>
      </c>
      <c r="G774" s="5">
        <v>1</v>
      </c>
      <c r="H774" s="1">
        <v>1.41</v>
      </c>
      <c r="I774" s="1">
        <v>4.5999999999999996</v>
      </c>
      <c r="J774" s="1">
        <v>6.79</v>
      </c>
      <c r="K774" s="6">
        <f>+H774-J774</f>
        <v>-5.38</v>
      </c>
      <c r="L774" s="7" t="str">
        <f>IF(F774-G774&gt;0,"Win","Loss")</f>
        <v>Win</v>
      </c>
      <c r="M774" s="14">
        <f t="shared" si="22"/>
        <v>20.5</v>
      </c>
      <c r="N774" s="14">
        <f t="shared" si="23"/>
        <v>50</v>
      </c>
    </row>
    <row r="775" spans="1:14" ht="12.75" x14ac:dyDescent="0.2">
      <c r="A775" s="1" t="s">
        <v>1002</v>
      </c>
      <c r="B775" s="3" t="s">
        <v>1003</v>
      </c>
      <c r="C775" s="4">
        <v>43515</v>
      </c>
      <c r="D775" s="2">
        <v>0.3125</v>
      </c>
      <c r="E775" s="1" t="s">
        <v>277</v>
      </c>
      <c r="F775" s="5">
        <v>4</v>
      </c>
      <c r="G775" s="5">
        <v>1</v>
      </c>
      <c r="H775" s="1">
        <v>1.31</v>
      </c>
      <c r="I775" s="1">
        <v>4.92</v>
      </c>
      <c r="J775" s="1">
        <v>8.61</v>
      </c>
      <c r="K775" s="6">
        <f>+H775-J775</f>
        <v>-7.2999999999999989</v>
      </c>
      <c r="L775" s="7" t="str">
        <f>IF(F775-G775&gt;0,"Win","Loss")</f>
        <v>Win</v>
      </c>
      <c r="M775" s="14">
        <f t="shared" si="22"/>
        <v>15.5</v>
      </c>
      <c r="N775" s="14">
        <f t="shared" si="23"/>
        <v>50</v>
      </c>
    </row>
    <row r="776" spans="1:14" ht="12.75" x14ac:dyDescent="0.2">
      <c r="A776" s="1" t="s">
        <v>1000</v>
      </c>
      <c r="B776" s="3" t="s">
        <v>1001</v>
      </c>
      <c r="C776" s="4">
        <v>43516</v>
      </c>
      <c r="D776" s="2">
        <v>3.472222222222222E-3</v>
      </c>
      <c r="E776" s="1" t="s">
        <v>185</v>
      </c>
      <c r="F776" s="5">
        <v>2</v>
      </c>
      <c r="G776" s="5">
        <v>1</v>
      </c>
      <c r="H776" s="1">
        <v>2.0099999999999998</v>
      </c>
      <c r="I776" s="1">
        <v>2.81</v>
      </c>
      <c r="J776" s="1">
        <v>4.32</v>
      </c>
      <c r="K776" s="6">
        <f>+H776-J776</f>
        <v>-2.3100000000000005</v>
      </c>
      <c r="L776" s="7" t="str">
        <f>IF(F776-G776&gt;0,"Win","Loss")</f>
        <v>Win</v>
      </c>
      <c r="M776" s="14">
        <f t="shared" si="22"/>
        <v>50.499999999999986</v>
      </c>
      <c r="N776" s="14">
        <f t="shared" si="23"/>
        <v>50</v>
      </c>
    </row>
    <row r="777" spans="1:14" ht="12.75" x14ac:dyDescent="0.2">
      <c r="A777" s="1" t="s">
        <v>1012</v>
      </c>
      <c r="B777" s="3" t="s">
        <v>1013</v>
      </c>
      <c r="C777" s="4">
        <v>43516</v>
      </c>
      <c r="D777" s="2">
        <v>0.9375</v>
      </c>
      <c r="E777" s="1" t="s">
        <v>522</v>
      </c>
      <c r="F777" s="5">
        <v>1</v>
      </c>
      <c r="G777" s="5">
        <v>3</v>
      </c>
      <c r="H777" s="1">
        <v>3.5</v>
      </c>
      <c r="I777" s="1">
        <v>3.93</v>
      </c>
      <c r="J777" s="1">
        <v>1.84</v>
      </c>
      <c r="K777" s="6">
        <f>+H777-J777</f>
        <v>1.66</v>
      </c>
      <c r="L777" s="7" t="str">
        <f>IF(F777-G777&gt;0,"Win","Loss")</f>
        <v>Loss</v>
      </c>
      <c r="M777" s="14">
        <f t="shared" si="22"/>
        <v>-50</v>
      </c>
      <c r="N777" s="14">
        <f t="shared" si="23"/>
        <v>50</v>
      </c>
    </row>
    <row r="778" spans="1:14" ht="12.75" x14ac:dyDescent="0.2">
      <c r="A778" s="1" t="s">
        <v>1012</v>
      </c>
      <c r="B778" s="3" t="s">
        <v>1013</v>
      </c>
      <c r="C778" s="4">
        <v>43516</v>
      </c>
      <c r="D778" s="2">
        <v>0.79166666666666663</v>
      </c>
      <c r="E778" s="1" t="s">
        <v>523</v>
      </c>
      <c r="F778" s="5">
        <v>1</v>
      </c>
      <c r="G778" s="5">
        <v>1</v>
      </c>
      <c r="H778" s="1">
        <v>1.68</v>
      </c>
      <c r="I778" s="1">
        <v>3.74</v>
      </c>
      <c r="J778" s="1">
        <v>4.58</v>
      </c>
      <c r="K778" s="6">
        <f>+H778-J778</f>
        <v>-2.9000000000000004</v>
      </c>
      <c r="L778" s="7" t="str">
        <f>IF(F778-G778&gt;0,"Win","Loss")</f>
        <v>Loss</v>
      </c>
      <c r="M778" s="14">
        <f t="shared" si="22"/>
        <v>-50</v>
      </c>
      <c r="N778" s="14">
        <f t="shared" si="23"/>
        <v>50</v>
      </c>
    </row>
    <row r="779" spans="1:14" ht="12.75" x14ac:dyDescent="0.2">
      <c r="A779" s="1" t="s">
        <v>1012</v>
      </c>
      <c r="B779" s="3" t="s">
        <v>1013</v>
      </c>
      <c r="C779" s="4">
        <v>43517</v>
      </c>
      <c r="D779" s="2">
        <v>0.9375</v>
      </c>
      <c r="E779" s="1" t="s">
        <v>518</v>
      </c>
      <c r="F779" s="5">
        <v>3</v>
      </c>
      <c r="G779" s="5">
        <v>0</v>
      </c>
      <c r="H779" s="1">
        <v>1.08</v>
      </c>
      <c r="I779" s="1">
        <v>9.32</v>
      </c>
      <c r="J779" s="1">
        <v>18.899999999999999</v>
      </c>
      <c r="K779" s="6">
        <f>+H779-J779</f>
        <v>-17.82</v>
      </c>
      <c r="L779" s="7" t="str">
        <f>IF(F779-G779&gt;0,"Win","Loss")</f>
        <v>Win</v>
      </c>
      <c r="M779" s="14">
        <f t="shared" si="22"/>
        <v>4</v>
      </c>
      <c r="N779" s="14">
        <f t="shared" si="23"/>
        <v>50</v>
      </c>
    </row>
    <row r="780" spans="1:14" ht="12.75" x14ac:dyDescent="0.2">
      <c r="A780" s="1" t="s">
        <v>1012</v>
      </c>
      <c r="B780" s="3" t="s">
        <v>1013</v>
      </c>
      <c r="C780" s="4">
        <v>43517</v>
      </c>
      <c r="D780" s="2">
        <v>0.79166666666666663</v>
      </c>
      <c r="E780" s="1" t="s">
        <v>519</v>
      </c>
      <c r="F780" s="5">
        <v>1</v>
      </c>
      <c r="G780" s="5">
        <v>3</v>
      </c>
      <c r="H780" s="1">
        <v>2.2400000000000002</v>
      </c>
      <c r="I780" s="1">
        <v>3.5</v>
      </c>
      <c r="J780" s="1">
        <v>2.84</v>
      </c>
      <c r="K780" s="6">
        <f>+H780-J780</f>
        <v>-0.59999999999999964</v>
      </c>
      <c r="L780" s="7" t="str">
        <f>IF(F780-G780&gt;0,"Win","Loss")</f>
        <v>Loss</v>
      </c>
      <c r="M780" s="14">
        <f t="shared" si="22"/>
        <v>-50</v>
      </c>
      <c r="N780" s="14">
        <f t="shared" si="23"/>
        <v>50</v>
      </c>
    </row>
    <row r="781" spans="1:14" ht="12.75" x14ac:dyDescent="0.2">
      <c r="A781" s="1" t="s">
        <v>1012</v>
      </c>
      <c r="B781" s="3" t="s">
        <v>1013</v>
      </c>
      <c r="C781" s="4">
        <v>43517</v>
      </c>
      <c r="D781" s="2">
        <v>3.125E-2</v>
      </c>
      <c r="E781" s="1" t="s">
        <v>520</v>
      </c>
      <c r="F781" s="5">
        <v>1</v>
      </c>
      <c r="G781" s="5">
        <v>3</v>
      </c>
      <c r="H781" s="1">
        <v>2.29</v>
      </c>
      <c r="I781" s="1">
        <v>3.58</v>
      </c>
      <c r="J781" s="1">
        <v>2.75</v>
      </c>
      <c r="K781" s="6">
        <f>+H781-J781</f>
        <v>-0.45999999999999996</v>
      </c>
      <c r="L781" s="7" t="str">
        <f>IF(F781-G781&gt;0,"Win","Loss")</f>
        <v>Loss</v>
      </c>
      <c r="M781" s="14">
        <f t="shared" si="22"/>
        <v>-50</v>
      </c>
      <c r="N781" s="14">
        <f t="shared" si="23"/>
        <v>50</v>
      </c>
    </row>
    <row r="782" spans="1:14" ht="12.75" x14ac:dyDescent="0.2">
      <c r="A782" s="1" t="s">
        <v>1012</v>
      </c>
      <c r="B782" s="3" t="s">
        <v>1013</v>
      </c>
      <c r="C782" s="4">
        <v>43517</v>
      </c>
      <c r="D782" s="2">
        <v>2.0833333333333332E-2</v>
      </c>
      <c r="E782" s="1" t="s">
        <v>521</v>
      </c>
      <c r="F782" s="5">
        <v>3</v>
      </c>
      <c r="G782" s="5">
        <v>3</v>
      </c>
      <c r="H782" s="1">
        <v>4.2300000000000004</v>
      </c>
      <c r="I782" s="1">
        <v>3.78</v>
      </c>
      <c r="J782" s="1">
        <v>1.72</v>
      </c>
      <c r="K782" s="6">
        <f>+H782-J782</f>
        <v>2.5100000000000007</v>
      </c>
      <c r="L782" s="7" t="str">
        <f>IF(F782-G782&gt;0,"Win","Loss")</f>
        <v>Loss</v>
      </c>
      <c r="M782" s="14">
        <f t="shared" ref="M782:M845" si="24">IF(L782="Win",(H782*N782)-N782,-N782)</f>
        <v>-50</v>
      </c>
      <c r="N782" s="14">
        <f t="shared" ref="N782:N845" si="25">+$M$1</f>
        <v>50</v>
      </c>
    </row>
    <row r="783" spans="1:14" ht="12.75" x14ac:dyDescent="0.2">
      <c r="A783" s="1" t="s">
        <v>996</v>
      </c>
      <c r="B783" s="3" t="s">
        <v>997</v>
      </c>
      <c r="C783" s="4">
        <v>43518</v>
      </c>
      <c r="D783" s="2">
        <v>0.70833333333333337</v>
      </c>
      <c r="E783" s="1" t="s">
        <v>79</v>
      </c>
      <c r="F783" s="5">
        <v>1</v>
      </c>
      <c r="G783" s="5">
        <v>2</v>
      </c>
      <c r="H783" s="1">
        <v>2</v>
      </c>
      <c r="I783" s="1">
        <v>3.02</v>
      </c>
      <c r="J783" s="1">
        <v>3.61</v>
      </c>
      <c r="K783" s="6">
        <f>+H783-J783</f>
        <v>-1.6099999999999999</v>
      </c>
      <c r="L783" s="7" t="str">
        <f>IF(F783-G783&gt;0,"Win","Loss")</f>
        <v>Loss</v>
      </c>
      <c r="M783" s="14">
        <f t="shared" si="24"/>
        <v>-50</v>
      </c>
      <c r="N783" s="14">
        <f t="shared" si="25"/>
        <v>50</v>
      </c>
    </row>
    <row r="784" spans="1:14" ht="12.75" x14ac:dyDescent="0.2">
      <c r="A784" s="1" t="s">
        <v>1012</v>
      </c>
      <c r="B784" s="3" t="s">
        <v>1013</v>
      </c>
      <c r="C784" s="4">
        <v>43518</v>
      </c>
      <c r="D784" s="2">
        <v>3.125E-2</v>
      </c>
      <c r="E784" s="1" t="s">
        <v>517</v>
      </c>
      <c r="F784" s="5">
        <v>4</v>
      </c>
      <c r="G784" s="5">
        <v>3</v>
      </c>
      <c r="H784" s="1">
        <v>1.88</v>
      </c>
      <c r="I784" s="1">
        <v>3.84</v>
      </c>
      <c r="J784" s="1">
        <v>3.47</v>
      </c>
      <c r="K784" s="6">
        <f>+H784-J784</f>
        <v>-1.5900000000000003</v>
      </c>
      <c r="L784" s="7" t="str">
        <f>IF(F784-G784&gt;0,"Win","Loss")</f>
        <v>Win</v>
      </c>
      <c r="M784" s="14">
        <f t="shared" si="24"/>
        <v>44</v>
      </c>
      <c r="N784" s="14">
        <f t="shared" si="25"/>
        <v>50</v>
      </c>
    </row>
    <row r="785" spans="1:14" ht="12.75" x14ac:dyDescent="0.2">
      <c r="A785" s="1" t="s">
        <v>996</v>
      </c>
      <c r="B785" s="3" t="s">
        <v>997</v>
      </c>
      <c r="C785" s="4">
        <v>43519</v>
      </c>
      <c r="D785" s="2">
        <v>0.66666666666666663</v>
      </c>
      <c r="E785" s="1" t="s">
        <v>78</v>
      </c>
      <c r="F785" s="5">
        <v>3</v>
      </c>
      <c r="G785" s="5">
        <v>1</v>
      </c>
      <c r="H785" s="1">
        <v>1.58</v>
      </c>
      <c r="I785" s="1">
        <v>3.27</v>
      </c>
      <c r="J785" s="1">
        <v>5.63</v>
      </c>
      <c r="K785" s="6">
        <f>+H785-J785</f>
        <v>-4.05</v>
      </c>
      <c r="L785" s="7" t="str">
        <f>IF(F785-G785&gt;0,"Win","Loss")</f>
        <v>Win</v>
      </c>
      <c r="M785" s="14">
        <f t="shared" si="24"/>
        <v>29</v>
      </c>
      <c r="N785" s="14">
        <f t="shared" si="25"/>
        <v>50</v>
      </c>
    </row>
    <row r="786" spans="1:14" ht="12.75" x14ac:dyDescent="0.2">
      <c r="A786" s="1" t="s">
        <v>1000</v>
      </c>
      <c r="B786" s="3" t="s">
        <v>1001</v>
      </c>
      <c r="C786" s="4">
        <v>43519</v>
      </c>
      <c r="D786" s="2">
        <v>0.97916666666666663</v>
      </c>
      <c r="E786" s="1" t="s">
        <v>179</v>
      </c>
      <c r="F786" s="5">
        <v>0</v>
      </c>
      <c r="G786" s="5">
        <v>2</v>
      </c>
      <c r="H786" s="1">
        <v>2.08</v>
      </c>
      <c r="I786" s="1">
        <v>2.88</v>
      </c>
      <c r="J786" s="1">
        <v>3.92</v>
      </c>
      <c r="K786" s="6">
        <f>+H786-J786</f>
        <v>-1.8399999999999999</v>
      </c>
      <c r="L786" s="7" t="str">
        <f>IF(F786-G786&gt;0,"Win","Loss")</f>
        <v>Loss</v>
      </c>
      <c r="M786" s="14">
        <f t="shared" si="24"/>
        <v>-50</v>
      </c>
      <c r="N786" s="14">
        <f t="shared" si="25"/>
        <v>50</v>
      </c>
    </row>
    <row r="787" spans="1:14" ht="12.75" x14ac:dyDescent="0.2">
      <c r="A787" s="1" t="s">
        <v>1000</v>
      </c>
      <c r="B787" s="3" t="s">
        <v>1001</v>
      </c>
      <c r="C787" s="4">
        <v>43519</v>
      </c>
      <c r="D787" s="2">
        <v>0.92013888888888884</v>
      </c>
      <c r="E787" s="1" t="s">
        <v>180</v>
      </c>
      <c r="F787" s="5">
        <v>2</v>
      </c>
      <c r="G787" s="5">
        <v>3</v>
      </c>
      <c r="H787" s="1">
        <v>1.9</v>
      </c>
      <c r="I787" s="1">
        <v>3.12</v>
      </c>
      <c r="J787" s="1">
        <v>4.22</v>
      </c>
      <c r="K787" s="6">
        <f>+H787-J787</f>
        <v>-2.3199999999999998</v>
      </c>
      <c r="L787" s="7" t="str">
        <f>IF(F787-G787&gt;0,"Win","Loss")</f>
        <v>Loss</v>
      </c>
      <c r="M787" s="14">
        <f t="shared" si="24"/>
        <v>-50</v>
      </c>
      <c r="N787" s="14">
        <f t="shared" si="25"/>
        <v>50</v>
      </c>
    </row>
    <row r="788" spans="1:14" ht="12.75" x14ac:dyDescent="0.2">
      <c r="A788" s="1" t="s">
        <v>1000</v>
      </c>
      <c r="B788" s="3" t="s">
        <v>1001</v>
      </c>
      <c r="C788" s="4">
        <v>43519</v>
      </c>
      <c r="D788" s="2">
        <v>0.91666666666666663</v>
      </c>
      <c r="E788" s="1" t="s">
        <v>181</v>
      </c>
      <c r="F788" s="5">
        <v>1</v>
      </c>
      <c r="G788" s="5">
        <v>1</v>
      </c>
      <c r="H788" s="1">
        <v>2.54</v>
      </c>
      <c r="I788" s="1">
        <v>2.69</v>
      </c>
      <c r="J788" s="1">
        <v>3.14</v>
      </c>
      <c r="K788" s="6">
        <f>+H788-J788</f>
        <v>-0.60000000000000009</v>
      </c>
      <c r="L788" s="7" t="str">
        <f>IF(F788-G788&gt;0,"Win","Loss")</f>
        <v>Loss</v>
      </c>
      <c r="M788" s="14">
        <f t="shared" si="24"/>
        <v>-50</v>
      </c>
      <c r="N788" s="14">
        <f t="shared" si="25"/>
        <v>50</v>
      </c>
    </row>
    <row r="789" spans="1:14" ht="12.75" x14ac:dyDescent="0.2">
      <c r="A789" s="1" t="s">
        <v>1000</v>
      </c>
      <c r="B789" s="3" t="s">
        <v>1001</v>
      </c>
      <c r="C789" s="4">
        <v>43519</v>
      </c>
      <c r="D789" s="2">
        <v>0.91666666666666663</v>
      </c>
      <c r="E789" s="1" t="s">
        <v>182</v>
      </c>
      <c r="F789" s="5">
        <v>2</v>
      </c>
      <c r="G789" s="5">
        <v>0</v>
      </c>
      <c r="H789" s="1">
        <v>2.04</v>
      </c>
      <c r="I789" s="1">
        <v>2.88</v>
      </c>
      <c r="J789" s="1">
        <v>4.1399999999999997</v>
      </c>
      <c r="K789" s="6">
        <f>+H789-J789</f>
        <v>-2.0999999999999996</v>
      </c>
      <c r="L789" s="7" t="str">
        <f>IF(F789-G789&gt;0,"Win","Loss")</f>
        <v>Win</v>
      </c>
      <c r="M789" s="14">
        <f t="shared" si="24"/>
        <v>52</v>
      </c>
      <c r="N789" s="14">
        <f t="shared" si="25"/>
        <v>50</v>
      </c>
    </row>
    <row r="790" spans="1:14" ht="12.75" x14ac:dyDescent="0.2">
      <c r="A790" s="1" t="s">
        <v>1000</v>
      </c>
      <c r="B790" s="3" t="s">
        <v>1001</v>
      </c>
      <c r="C790" s="4">
        <v>43519</v>
      </c>
      <c r="D790" s="2">
        <v>0.83680555555555547</v>
      </c>
      <c r="E790" s="1" t="s">
        <v>183</v>
      </c>
      <c r="F790" s="5">
        <v>1</v>
      </c>
      <c r="G790" s="5">
        <v>3</v>
      </c>
      <c r="H790" s="1">
        <v>3.22</v>
      </c>
      <c r="I790" s="1">
        <v>2.88</v>
      </c>
      <c r="J790" s="1">
        <v>2.33</v>
      </c>
      <c r="K790" s="6">
        <f>+H790-J790</f>
        <v>0.89000000000000012</v>
      </c>
      <c r="L790" s="7" t="str">
        <f>IF(F790-G790&gt;0,"Win","Loss")</f>
        <v>Loss</v>
      </c>
      <c r="M790" s="14">
        <f t="shared" si="24"/>
        <v>-50</v>
      </c>
      <c r="N790" s="14">
        <f t="shared" si="25"/>
        <v>50</v>
      </c>
    </row>
    <row r="791" spans="1:14" ht="12.75" x14ac:dyDescent="0.2">
      <c r="A791" s="1" t="s">
        <v>1000</v>
      </c>
      <c r="B791" s="3" t="s">
        <v>1001</v>
      </c>
      <c r="C791" s="4">
        <v>43519</v>
      </c>
      <c r="D791" s="2">
        <v>0.83333333333333337</v>
      </c>
      <c r="E791" s="1" t="s">
        <v>184</v>
      </c>
      <c r="F791" s="5">
        <v>0</v>
      </c>
      <c r="G791" s="5">
        <v>3</v>
      </c>
      <c r="H791" s="1">
        <v>2</v>
      </c>
      <c r="I791" s="1">
        <v>2.97</v>
      </c>
      <c r="J791" s="1">
        <v>4</v>
      </c>
      <c r="K791" s="6">
        <f>+H791-J791</f>
        <v>-2</v>
      </c>
      <c r="L791" s="7" t="str">
        <f>IF(F791-G791&gt;0,"Win","Loss")</f>
        <v>Loss</v>
      </c>
      <c r="M791" s="14">
        <f t="shared" si="24"/>
        <v>-50</v>
      </c>
      <c r="N791" s="14">
        <f t="shared" si="25"/>
        <v>50</v>
      </c>
    </row>
    <row r="792" spans="1:14" ht="12.75" x14ac:dyDescent="0.2">
      <c r="A792" s="1" t="s">
        <v>1010</v>
      </c>
      <c r="B792" s="3" t="s">
        <v>1011</v>
      </c>
      <c r="C792" s="4">
        <v>43519</v>
      </c>
      <c r="D792" s="2">
        <v>0.79166666666666663</v>
      </c>
      <c r="E792" s="1" t="s">
        <v>452</v>
      </c>
      <c r="F792" s="5">
        <v>1</v>
      </c>
      <c r="G792" s="5">
        <v>1</v>
      </c>
      <c r="H792" s="1">
        <v>1.7</v>
      </c>
      <c r="I792" s="1">
        <v>3.35</v>
      </c>
      <c r="J792" s="1">
        <v>4.0999999999999996</v>
      </c>
      <c r="K792" s="6">
        <f>+H792-J792</f>
        <v>-2.3999999999999995</v>
      </c>
      <c r="L792" s="7" t="str">
        <f>IF(F792-G792&gt;0,"Win","Loss")</f>
        <v>Loss</v>
      </c>
      <c r="M792" s="14">
        <f t="shared" si="24"/>
        <v>-50</v>
      </c>
      <c r="N792" s="14">
        <f t="shared" si="25"/>
        <v>50</v>
      </c>
    </row>
    <row r="793" spans="1:14" ht="12.75" x14ac:dyDescent="0.2">
      <c r="A793" s="1" t="s">
        <v>1010</v>
      </c>
      <c r="B793" s="3" t="s">
        <v>1011</v>
      </c>
      <c r="C793" s="4">
        <v>43519</v>
      </c>
      <c r="D793" s="2">
        <v>0.79166666666666663</v>
      </c>
      <c r="E793" s="1" t="s">
        <v>453</v>
      </c>
      <c r="F793" s="5">
        <v>1</v>
      </c>
      <c r="G793" s="5">
        <v>3</v>
      </c>
      <c r="H793" s="1">
        <v>1.75</v>
      </c>
      <c r="I793" s="1">
        <v>3.4</v>
      </c>
      <c r="J793" s="1">
        <v>3.8</v>
      </c>
      <c r="K793" s="6">
        <f>+H793-J793</f>
        <v>-2.0499999999999998</v>
      </c>
      <c r="L793" s="7" t="str">
        <f>IF(F793-G793&gt;0,"Win","Loss")</f>
        <v>Loss</v>
      </c>
      <c r="M793" s="14">
        <f t="shared" si="24"/>
        <v>-50</v>
      </c>
      <c r="N793" s="14">
        <f t="shared" si="25"/>
        <v>50</v>
      </c>
    </row>
    <row r="794" spans="1:14" ht="12.75" x14ac:dyDescent="0.2">
      <c r="A794" s="1" t="s">
        <v>1010</v>
      </c>
      <c r="B794" s="3" t="s">
        <v>1011</v>
      </c>
      <c r="C794" s="4">
        <v>43519</v>
      </c>
      <c r="D794" s="2">
        <v>0.79166666666666663</v>
      </c>
      <c r="E794" s="1" t="s">
        <v>454</v>
      </c>
      <c r="F794" s="5">
        <v>0</v>
      </c>
      <c r="G794" s="5">
        <v>0</v>
      </c>
      <c r="H794" s="1">
        <v>3.8</v>
      </c>
      <c r="I794" s="1">
        <v>3.6</v>
      </c>
      <c r="J794" s="1">
        <v>1.7</v>
      </c>
      <c r="K794" s="6">
        <f>+H794-J794</f>
        <v>2.0999999999999996</v>
      </c>
      <c r="L794" s="7" t="str">
        <f>IF(F794-G794&gt;0,"Win","Loss")</f>
        <v>Loss</v>
      </c>
      <c r="M794" s="14">
        <f t="shared" si="24"/>
        <v>-50</v>
      </c>
      <c r="N794" s="14">
        <f t="shared" si="25"/>
        <v>50</v>
      </c>
    </row>
    <row r="795" spans="1:14" ht="12.75" x14ac:dyDescent="0.2">
      <c r="A795" s="1" t="s">
        <v>1012</v>
      </c>
      <c r="B795" s="3" t="s">
        <v>1013</v>
      </c>
      <c r="C795" s="4">
        <v>43519</v>
      </c>
      <c r="D795" s="2">
        <v>0.97916666666666663</v>
      </c>
      <c r="E795" s="1" t="s">
        <v>515</v>
      </c>
      <c r="F795" s="5">
        <v>5</v>
      </c>
      <c r="G795" s="5">
        <v>3</v>
      </c>
      <c r="H795" s="1">
        <v>1.18</v>
      </c>
      <c r="I795" s="1">
        <v>6.36</v>
      </c>
      <c r="J795" s="1">
        <v>11.26</v>
      </c>
      <c r="K795" s="6">
        <f>+H795-J795</f>
        <v>-10.08</v>
      </c>
      <c r="L795" s="7" t="str">
        <f>IF(F795-G795&gt;0,"Win","Loss")</f>
        <v>Win</v>
      </c>
      <c r="M795" s="14">
        <f t="shared" si="24"/>
        <v>9</v>
      </c>
      <c r="N795" s="14">
        <f t="shared" si="25"/>
        <v>50</v>
      </c>
    </row>
    <row r="796" spans="1:14" ht="12.75" x14ac:dyDescent="0.2">
      <c r="A796" s="1" t="s">
        <v>1012</v>
      </c>
      <c r="B796" s="3" t="s">
        <v>1013</v>
      </c>
      <c r="C796" s="4">
        <v>43519</v>
      </c>
      <c r="D796" s="2">
        <v>0.79166666666666663</v>
      </c>
      <c r="E796" s="1" t="s">
        <v>516</v>
      </c>
      <c r="F796" s="5">
        <v>2</v>
      </c>
      <c r="G796" s="5">
        <v>0</v>
      </c>
      <c r="H796" s="1">
        <v>1.33</v>
      </c>
      <c r="I796" s="1">
        <v>5</v>
      </c>
      <c r="J796" s="1">
        <v>7.55</v>
      </c>
      <c r="K796" s="6">
        <f>+H796-J796</f>
        <v>-6.22</v>
      </c>
      <c r="L796" s="7" t="str">
        <f>IF(F796-G796&gt;0,"Win","Loss")</f>
        <v>Win</v>
      </c>
      <c r="M796" s="14">
        <f t="shared" si="24"/>
        <v>16.5</v>
      </c>
      <c r="N796" s="14">
        <f t="shared" si="25"/>
        <v>50</v>
      </c>
    </row>
    <row r="797" spans="1:14" ht="12.75" x14ac:dyDescent="0.2">
      <c r="A797" s="1" t="s">
        <v>1014</v>
      </c>
      <c r="B797" s="3" t="s">
        <v>1015</v>
      </c>
      <c r="C797" s="4">
        <v>43519</v>
      </c>
      <c r="D797" s="2">
        <v>0.66666666666666663</v>
      </c>
      <c r="E797" s="1" t="s">
        <v>547</v>
      </c>
      <c r="F797" s="5">
        <v>2</v>
      </c>
      <c r="G797" s="5">
        <v>3</v>
      </c>
      <c r="H797" s="1">
        <v>4.0199999999999996</v>
      </c>
      <c r="I797" s="1">
        <v>3.66</v>
      </c>
      <c r="J797" s="1">
        <v>1.78</v>
      </c>
      <c r="K797" s="6">
        <f>+H797-J797</f>
        <v>2.2399999999999993</v>
      </c>
      <c r="L797" s="7" t="str">
        <f>IF(F797-G797&gt;0,"Win","Loss")</f>
        <v>Loss</v>
      </c>
      <c r="M797" s="14">
        <f t="shared" si="24"/>
        <v>-50</v>
      </c>
      <c r="N797" s="14">
        <f t="shared" si="25"/>
        <v>50</v>
      </c>
    </row>
    <row r="798" spans="1:14" ht="12.75" x14ac:dyDescent="0.2">
      <c r="A798" s="1" t="s">
        <v>1014</v>
      </c>
      <c r="B798" s="3" t="s">
        <v>1015</v>
      </c>
      <c r="C798" s="4">
        <v>43519</v>
      </c>
      <c r="D798" s="2">
        <v>0.66666666666666663</v>
      </c>
      <c r="E798" s="1" t="s">
        <v>537</v>
      </c>
      <c r="F798" s="5">
        <v>2</v>
      </c>
      <c r="G798" s="5">
        <v>0</v>
      </c>
      <c r="H798" s="1">
        <v>2.5</v>
      </c>
      <c r="I798" s="1">
        <v>2.73</v>
      </c>
      <c r="J798" s="1">
        <v>3.18</v>
      </c>
      <c r="K798" s="6">
        <f>+H798-J798</f>
        <v>-0.68000000000000016</v>
      </c>
      <c r="L798" s="7" t="str">
        <f>IF(F798-G798&gt;0,"Win","Loss")</f>
        <v>Win</v>
      </c>
      <c r="M798" s="14">
        <f t="shared" si="24"/>
        <v>75</v>
      </c>
      <c r="N798" s="14">
        <f t="shared" si="25"/>
        <v>50</v>
      </c>
    </row>
    <row r="799" spans="1:14" ht="12.75" x14ac:dyDescent="0.2">
      <c r="A799" s="1" t="s">
        <v>1014</v>
      </c>
      <c r="B799" s="3" t="s">
        <v>1015</v>
      </c>
      <c r="C799" s="4">
        <v>43519</v>
      </c>
      <c r="D799" s="2">
        <v>0.625</v>
      </c>
      <c r="E799" s="1" t="s">
        <v>554</v>
      </c>
      <c r="F799" s="5">
        <v>1</v>
      </c>
      <c r="G799" s="5">
        <v>0</v>
      </c>
      <c r="H799" s="1">
        <v>1.83</v>
      </c>
      <c r="I799" s="1">
        <v>3.66</v>
      </c>
      <c r="J799" s="1">
        <v>3.82</v>
      </c>
      <c r="K799" s="6">
        <f>+H799-J799</f>
        <v>-1.9899999999999998</v>
      </c>
      <c r="L799" s="7" t="str">
        <f>IF(F799-G799&gt;0,"Win","Loss")</f>
        <v>Win</v>
      </c>
      <c r="M799" s="14">
        <f t="shared" si="24"/>
        <v>41.5</v>
      </c>
      <c r="N799" s="14">
        <f t="shared" si="25"/>
        <v>50</v>
      </c>
    </row>
    <row r="800" spans="1:14" ht="12.75" x14ac:dyDescent="0.2">
      <c r="A800" s="1" t="s">
        <v>996</v>
      </c>
      <c r="B800" s="3" t="s">
        <v>997</v>
      </c>
      <c r="C800" s="4">
        <v>43520</v>
      </c>
      <c r="D800" s="2">
        <v>0.54166666666666663</v>
      </c>
      <c r="E800" s="1" t="s">
        <v>76</v>
      </c>
      <c r="F800" s="5">
        <v>1</v>
      </c>
      <c r="G800" s="5">
        <v>1</v>
      </c>
      <c r="H800" s="1">
        <v>2.5</v>
      </c>
      <c r="I800" s="1">
        <v>3.09</v>
      </c>
      <c r="J800" s="1">
        <v>2.63</v>
      </c>
      <c r="K800" s="6">
        <f>+H800-J800</f>
        <v>-0.12999999999999989</v>
      </c>
      <c r="L800" s="7" t="str">
        <f>IF(F800-G800&gt;0,"Win","Loss")</f>
        <v>Loss</v>
      </c>
      <c r="M800" s="14">
        <f t="shared" si="24"/>
        <v>-50</v>
      </c>
      <c r="N800" s="14">
        <f t="shared" si="25"/>
        <v>50</v>
      </c>
    </row>
    <row r="801" spans="1:14" ht="12.75" x14ac:dyDescent="0.2">
      <c r="A801" s="1" t="s">
        <v>996</v>
      </c>
      <c r="B801" s="3" t="s">
        <v>997</v>
      </c>
      <c r="C801" s="4">
        <v>43520</v>
      </c>
      <c r="D801" s="2">
        <v>0.54166666666666663</v>
      </c>
      <c r="E801" s="1" t="s">
        <v>77</v>
      </c>
      <c r="F801" s="5">
        <v>3</v>
      </c>
      <c r="G801" s="5">
        <v>2</v>
      </c>
      <c r="H801" s="1">
        <v>1.54</v>
      </c>
      <c r="I801" s="1">
        <v>3.5</v>
      </c>
      <c r="J801" s="1">
        <v>5.8</v>
      </c>
      <c r="K801" s="6">
        <f>+H801-J801</f>
        <v>-4.26</v>
      </c>
      <c r="L801" s="7" t="str">
        <f>IF(F801-G801&gt;0,"Win","Loss")</f>
        <v>Win</v>
      </c>
      <c r="M801" s="14">
        <f t="shared" si="24"/>
        <v>27</v>
      </c>
      <c r="N801" s="14">
        <f t="shared" si="25"/>
        <v>50</v>
      </c>
    </row>
    <row r="802" spans="1:14" ht="12.75" x14ac:dyDescent="0.2">
      <c r="A802" s="1" t="s">
        <v>998</v>
      </c>
      <c r="B802" s="3" t="s">
        <v>999</v>
      </c>
      <c r="C802" s="4">
        <v>43520</v>
      </c>
      <c r="D802" s="2">
        <v>0.70833333333333337</v>
      </c>
      <c r="E802" s="1" t="s">
        <v>127</v>
      </c>
      <c r="F802" s="5">
        <v>3</v>
      </c>
      <c r="G802" s="5">
        <v>0</v>
      </c>
      <c r="H802" s="1">
        <v>1.23</v>
      </c>
      <c r="I802" s="1">
        <v>5.92</v>
      </c>
      <c r="J802" s="1">
        <v>8.09</v>
      </c>
      <c r="K802" s="6">
        <f>+H802-J802</f>
        <v>-6.8599999999999994</v>
      </c>
      <c r="L802" s="7" t="str">
        <f>IF(F802-G802&gt;0,"Win","Loss")</f>
        <v>Win</v>
      </c>
      <c r="M802" s="14">
        <f t="shared" si="24"/>
        <v>11.5</v>
      </c>
      <c r="N802" s="14">
        <f t="shared" si="25"/>
        <v>50</v>
      </c>
    </row>
    <row r="803" spans="1:14" ht="12.75" x14ac:dyDescent="0.2">
      <c r="A803" s="1" t="s">
        <v>998</v>
      </c>
      <c r="B803" s="3" t="s">
        <v>999</v>
      </c>
      <c r="C803" s="4">
        <v>43520</v>
      </c>
      <c r="D803" s="2">
        <v>0.625</v>
      </c>
      <c r="E803" s="1" t="s">
        <v>128</v>
      </c>
      <c r="F803" s="5">
        <v>0</v>
      </c>
      <c r="G803" s="5">
        <v>1</v>
      </c>
      <c r="H803" s="1">
        <v>1.29</v>
      </c>
      <c r="I803" s="1">
        <v>5.19</v>
      </c>
      <c r="J803" s="1">
        <v>7.03</v>
      </c>
      <c r="K803" s="6">
        <f>+H803-J803</f>
        <v>-5.74</v>
      </c>
      <c r="L803" s="7" t="str">
        <f>IF(F803-G803&gt;0,"Win","Loss")</f>
        <v>Loss</v>
      </c>
      <c r="M803" s="14">
        <f t="shared" si="24"/>
        <v>-50</v>
      </c>
      <c r="N803" s="14">
        <f t="shared" si="25"/>
        <v>50</v>
      </c>
    </row>
    <row r="804" spans="1:14" ht="12.75" x14ac:dyDescent="0.2">
      <c r="A804" s="1" t="s">
        <v>998</v>
      </c>
      <c r="B804" s="3" t="s">
        <v>999</v>
      </c>
      <c r="C804" s="4">
        <v>43520</v>
      </c>
      <c r="D804" s="2">
        <v>0.45833333333333331</v>
      </c>
      <c r="E804" s="1" t="s">
        <v>129</v>
      </c>
      <c r="F804" s="5">
        <v>1</v>
      </c>
      <c r="G804" s="5">
        <v>1</v>
      </c>
      <c r="H804" s="1">
        <v>2.58</v>
      </c>
      <c r="I804" s="1">
        <v>3.5</v>
      </c>
      <c r="J804" s="1">
        <v>2.2400000000000002</v>
      </c>
      <c r="K804" s="6">
        <f>+H804-J804</f>
        <v>0.33999999999999986</v>
      </c>
      <c r="L804" s="7" t="str">
        <f>IF(F804-G804&gt;0,"Win","Loss")</f>
        <v>Loss</v>
      </c>
      <c r="M804" s="14">
        <f t="shared" si="24"/>
        <v>-50</v>
      </c>
      <c r="N804" s="14">
        <f t="shared" si="25"/>
        <v>50</v>
      </c>
    </row>
    <row r="805" spans="1:14" ht="12.75" x14ac:dyDescent="0.2">
      <c r="A805" s="1" t="s">
        <v>1000</v>
      </c>
      <c r="B805" s="3" t="s">
        <v>1001</v>
      </c>
      <c r="C805" s="4">
        <v>43520</v>
      </c>
      <c r="D805" s="2">
        <v>0.875</v>
      </c>
      <c r="E805" s="1" t="s">
        <v>174</v>
      </c>
      <c r="F805" s="5">
        <v>0</v>
      </c>
      <c r="G805" s="5">
        <v>3</v>
      </c>
      <c r="H805" s="1">
        <v>2.2599999999999998</v>
      </c>
      <c r="I805" s="1">
        <v>2.95</v>
      </c>
      <c r="J805" s="1">
        <v>3.3</v>
      </c>
      <c r="K805" s="6">
        <f>+H805-J805</f>
        <v>-1.04</v>
      </c>
      <c r="L805" s="7" t="str">
        <f>IF(F805-G805&gt;0,"Win","Loss")</f>
        <v>Loss</v>
      </c>
      <c r="M805" s="14">
        <f t="shared" si="24"/>
        <v>-50</v>
      </c>
      <c r="N805" s="14">
        <f t="shared" si="25"/>
        <v>50</v>
      </c>
    </row>
    <row r="806" spans="1:14" ht="12.75" x14ac:dyDescent="0.2">
      <c r="A806" s="1" t="s">
        <v>1000</v>
      </c>
      <c r="B806" s="3" t="s">
        <v>1001</v>
      </c>
      <c r="C806" s="4">
        <v>43520</v>
      </c>
      <c r="D806" s="2">
        <v>0.83333333333333337</v>
      </c>
      <c r="E806" s="1" t="s">
        <v>175</v>
      </c>
      <c r="F806" s="5">
        <v>1</v>
      </c>
      <c r="G806" s="5">
        <v>1</v>
      </c>
      <c r="H806" s="1">
        <v>1.57</v>
      </c>
      <c r="I806" s="1">
        <v>3.28</v>
      </c>
      <c r="J806" s="1">
        <v>6.87</v>
      </c>
      <c r="K806" s="6">
        <f>+H806-J806</f>
        <v>-5.3</v>
      </c>
      <c r="L806" s="7" t="str">
        <f>IF(F806-G806&gt;0,"Win","Loss")</f>
        <v>Loss</v>
      </c>
      <c r="M806" s="14">
        <f t="shared" si="24"/>
        <v>-50</v>
      </c>
      <c r="N806" s="14">
        <f t="shared" si="25"/>
        <v>50</v>
      </c>
    </row>
    <row r="807" spans="1:14" ht="12.75" x14ac:dyDescent="0.2">
      <c r="A807" s="1" t="s">
        <v>1000</v>
      </c>
      <c r="B807" s="3" t="s">
        <v>1001</v>
      </c>
      <c r="C807" s="4">
        <v>43520</v>
      </c>
      <c r="D807" s="2">
        <v>0.83333333333333337</v>
      </c>
      <c r="E807" s="1" t="s">
        <v>176</v>
      </c>
      <c r="F807" s="5">
        <v>1</v>
      </c>
      <c r="G807" s="5">
        <v>0</v>
      </c>
      <c r="H807" s="1">
        <v>2.13</v>
      </c>
      <c r="I807" s="1">
        <v>2.91</v>
      </c>
      <c r="J807" s="1">
        <v>3.67</v>
      </c>
      <c r="K807" s="6">
        <f>+H807-J807</f>
        <v>-1.54</v>
      </c>
      <c r="L807" s="7" t="str">
        <f>IF(F807-G807&gt;0,"Win","Loss")</f>
        <v>Win</v>
      </c>
      <c r="M807" s="14">
        <f t="shared" si="24"/>
        <v>56.5</v>
      </c>
      <c r="N807" s="14">
        <f t="shared" si="25"/>
        <v>50</v>
      </c>
    </row>
    <row r="808" spans="1:14" ht="12.75" x14ac:dyDescent="0.2">
      <c r="A808" s="1" t="s">
        <v>1000</v>
      </c>
      <c r="B808" s="3" t="s">
        <v>1001</v>
      </c>
      <c r="C808" s="4">
        <v>43520</v>
      </c>
      <c r="D808" s="2">
        <v>0.83333333333333337</v>
      </c>
      <c r="E808" s="1" t="s">
        <v>177</v>
      </c>
      <c r="F808" s="5">
        <v>1</v>
      </c>
      <c r="G808" s="5">
        <v>1</v>
      </c>
      <c r="H808" s="1">
        <v>2.2400000000000002</v>
      </c>
      <c r="I808" s="1">
        <v>2.82</v>
      </c>
      <c r="J808" s="1">
        <v>3.5</v>
      </c>
      <c r="K808" s="6">
        <f>+H808-J808</f>
        <v>-1.2599999999999998</v>
      </c>
      <c r="L808" s="7" t="str">
        <f>IF(F808-G808&gt;0,"Win","Loss")</f>
        <v>Loss</v>
      </c>
      <c r="M808" s="14">
        <f t="shared" si="24"/>
        <v>-50</v>
      </c>
      <c r="N808" s="14">
        <f t="shared" si="25"/>
        <v>50</v>
      </c>
    </row>
    <row r="809" spans="1:14" ht="12.75" x14ac:dyDescent="0.2">
      <c r="A809" s="1" t="s">
        <v>1000</v>
      </c>
      <c r="B809" s="3" t="s">
        <v>1001</v>
      </c>
      <c r="C809" s="4">
        <v>43520</v>
      </c>
      <c r="D809" s="2">
        <v>0</v>
      </c>
      <c r="E809" s="1" t="s">
        <v>178</v>
      </c>
      <c r="F809" s="5">
        <v>0</v>
      </c>
      <c r="G809" s="5">
        <v>1</v>
      </c>
      <c r="H809" s="1">
        <v>2.27</v>
      </c>
      <c r="I809" s="1">
        <v>2.82</v>
      </c>
      <c r="J809" s="1">
        <v>3.45</v>
      </c>
      <c r="K809" s="6">
        <f>+H809-J809</f>
        <v>-1.1800000000000002</v>
      </c>
      <c r="L809" s="7" t="str">
        <f>IF(F809-G809&gt;0,"Win","Loss")</f>
        <v>Loss</v>
      </c>
      <c r="M809" s="14">
        <f t="shared" si="24"/>
        <v>-50</v>
      </c>
      <c r="N809" s="14">
        <f t="shared" si="25"/>
        <v>50</v>
      </c>
    </row>
    <row r="810" spans="1:14" ht="12.75" x14ac:dyDescent="0.2">
      <c r="A810" s="1" t="s">
        <v>1010</v>
      </c>
      <c r="B810" s="3" t="s">
        <v>1011</v>
      </c>
      <c r="C810" s="4">
        <v>43520</v>
      </c>
      <c r="D810" s="2">
        <v>0.58333333333333337</v>
      </c>
      <c r="E810" s="1" t="s">
        <v>448</v>
      </c>
      <c r="F810" s="5">
        <v>0</v>
      </c>
      <c r="G810" s="5">
        <v>0</v>
      </c>
      <c r="H810" s="1">
        <v>2.2999999999999998</v>
      </c>
      <c r="I810" s="1">
        <v>3.4</v>
      </c>
      <c r="J810" s="1">
        <v>2.5</v>
      </c>
      <c r="K810" s="6">
        <f>+H810-J810</f>
        <v>-0.20000000000000018</v>
      </c>
      <c r="L810" s="7" t="str">
        <f>IF(F810-G810&gt;0,"Win","Loss")</f>
        <v>Loss</v>
      </c>
      <c r="M810" s="14">
        <f t="shared" si="24"/>
        <v>-50</v>
      </c>
      <c r="N810" s="14">
        <f t="shared" si="25"/>
        <v>50</v>
      </c>
    </row>
    <row r="811" spans="1:14" ht="12.75" x14ac:dyDescent="0.2">
      <c r="A811" s="1" t="s">
        <v>1010</v>
      </c>
      <c r="B811" s="3" t="s">
        <v>1011</v>
      </c>
      <c r="C811" s="4">
        <v>43520</v>
      </c>
      <c r="D811" s="2">
        <v>0.58333333333333337</v>
      </c>
      <c r="E811" s="1" t="s">
        <v>449</v>
      </c>
      <c r="F811" s="5">
        <v>1</v>
      </c>
      <c r="G811" s="5">
        <v>2</v>
      </c>
      <c r="H811" s="1">
        <v>4.75</v>
      </c>
      <c r="I811" s="1">
        <v>3.75</v>
      </c>
      <c r="J811" s="1">
        <v>1.55</v>
      </c>
      <c r="K811" s="6">
        <f>+H811-J811</f>
        <v>3.2</v>
      </c>
      <c r="L811" s="7" t="str">
        <f>IF(F811-G811&gt;0,"Win","Loss")</f>
        <v>Loss</v>
      </c>
      <c r="M811" s="14">
        <f t="shared" si="24"/>
        <v>-50</v>
      </c>
      <c r="N811" s="14">
        <f t="shared" si="25"/>
        <v>50</v>
      </c>
    </row>
    <row r="812" spans="1:14" ht="12.75" x14ac:dyDescent="0.2">
      <c r="A812" s="1" t="s">
        <v>1010</v>
      </c>
      <c r="B812" s="3" t="s">
        <v>1011</v>
      </c>
      <c r="C812" s="4">
        <v>43520</v>
      </c>
      <c r="D812" s="2">
        <v>0.58333333333333337</v>
      </c>
      <c r="E812" s="1" t="s">
        <v>450</v>
      </c>
      <c r="F812" s="5">
        <v>2</v>
      </c>
      <c r="G812" s="5">
        <v>1</v>
      </c>
      <c r="H812" s="1">
        <v>1.73</v>
      </c>
      <c r="I812" s="1">
        <v>3.65</v>
      </c>
      <c r="J812" s="1">
        <v>3.6</v>
      </c>
      <c r="K812" s="6">
        <f>+H812-J812</f>
        <v>-1.87</v>
      </c>
      <c r="L812" s="7" t="str">
        <f>IF(F812-G812&gt;0,"Win","Loss")</f>
        <v>Win</v>
      </c>
      <c r="M812" s="14">
        <f t="shared" si="24"/>
        <v>36.5</v>
      </c>
      <c r="N812" s="14">
        <f t="shared" si="25"/>
        <v>50</v>
      </c>
    </row>
    <row r="813" spans="1:14" ht="12.75" x14ac:dyDescent="0.2">
      <c r="A813" s="1" t="s">
        <v>1010</v>
      </c>
      <c r="B813" s="3" t="s">
        <v>1011</v>
      </c>
      <c r="C813" s="4">
        <v>43520</v>
      </c>
      <c r="D813" s="2">
        <v>0.58333333333333337</v>
      </c>
      <c r="E813" s="1" t="s">
        <v>451</v>
      </c>
      <c r="F813" s="5">
        <v>3</v>
      </c>
      <c r="G813" s="5">
        <v>1</v>
      </c>
      <c r="H813" s="1">
        <v>1.55</v>
      </c>
      <c r="I813" s="1">
        <v>3.6</v>
      </c>
      <c r="J813" s="1">
        <v>4.9000000000000004</v>
      </c>
      <c r="K813" s="6">
        <f>+H813-J813</f>
        <v>-3.3500000000000005</v>
      </c>
      <c r="L813" s="7" t="str">
        <f>IF(F813-G813&gt;0,"Win","Loss")</f>
        <v>Win</v>
      </c>
      <c r="M813" s="14">
        <f t="shared" si="24"/>
        <v>27.5</v>
      </c>
      <c r="N813" s="14">
        <f t="shared" si="25"/>
        <v>50</v>
      </c>
    </row>
    <row r="814" spans="1:14" ht="12.75" x14ac:dyDescent="0.2">
      <c r="A814" s="1" t="s">
        <v>1012</v>
      </c>
      <c r="B814" s="3" t="s">
        <v>1013</v>
      </c>
      <c r="C814" s="4">
        <v>43520</v>
      </c>
      <c r="D814" s="2">
        <v>0.97916666666666663</v>
      </c>
      <c r="E814" s="1" t="s">
        <v>511</v>
      </c>
      <c r="F814" s="5">
        <v>0</v>
      </c>
      <c r="G814" s="5">
        <v>0</v>
      </c>
      <c r="H814" s="1">
        <v>2.41</v>
      </c>
      <c r="I814" s="1">
        <v>3.39</v>
      </c>
      <c r="J814" s="1">
        <v>2.66</v>
      </c>
      <c r="K814" s="6">
        <f>+H814-J814</f>
        <v>-0.25</v>
      </c>
      <c r="L814" s="7" t="str">
        <f>IF(F814-G814&gt;0,"Win","Loss")</f>
        <v>Loss</v>
      </c>
      <c r="M814" s="14">
        <f t="shared" si="24"/>
        <v>-50</v>
      </c>
      <c r="N814" s="14">
        <f t="shared" si="25"/>
        <v>50</v>
      </c>
    </row>
    <row r="815" spans="1:14" ht="12.75" x14ac:dyDescent="0.2">
      <c r="A815" s="1" t="s">
        <v>1012</v>
      </c>
      <c r="B815" s="3" t="s">
        <v>1013</v>
      </c>
      <c r="C815" s="4">
        <v>43520</v>
      </c>
      <c r="D815" s="2">
        <v>0.88541666666666663</v>
      </c>
      <c r="E815" s="1" t="s">
        <v>512</v>
      </c>
      <c r="F815" s="5">
        <v>2</v>
      </c>
      <c r="G815" s="5">
        <v>1</v>
      </c>
      <c r="H815" s="1">
        <v>1.4</v>
      </c>
      <c r="I815" s="1">
        <v>4.3600000000000003</v>
      </c>
      <c r="J815" s="1">
        <v>6.87</v>
      </c>
      <c r="K815" s="6">
        <f>+H815-J815</f>
        <v>-5.4700000000000006</v>
      </c>
      <c r="L815" s="7" t="str">
        <f>IF(F815-G815&gt;0,"Win","Loss")</f>
        <v>Win</v>
      </c>
      <c r="M815" s="14">
        <f t="shared" si="24"/>
        <v>20</v>
      </c>
      <c r="N815" s="14">
        <f t="shared" si="25"/>
        <v>50</v>
      </c>
    </row>
    <row r="816" spans="1:14" ht="12.75" x14ac:dyDescent="0.2">
      <c r="A816" s="1" t="s">
        <v>1012</v>
      </c>
      <c r="B816" s="3" t="s">
        <v>1013</v>
      </c>
      <c r="C816" s="4">
        <v>43520</v>
      </c>
      <c r="D816" s="2">
        <v>0.83333333333333337</v>
      </c>
      <c r="E816" s="1" t="s">
        <v>513</v>
      </c>
      <c r="F816" s="5">
        <v>3</v>
      </c>
      <c r="G816" s="5">
        <v>0</v>
      </c>
      <c r="H816" s="1">
        <v>1.1599999999999999</v>
      </c>
      <c r="I816" s="1">
        <v>6.76</v>
      </c>
      <c r="J816" s="1">
        <v>12.74</v>
      </c>
      <c r="K816" s="6">
        <f>+H816-J816</f>
        <v>-11.58</v>
      </c>
      <c r="L816" s="7" t="str">
        <f>IF(F816-G816&gt;0,"Win","Loss")</f>
        <v>Win</v>
      </c>
      <c r="M816" s="14">
        <f t="shared" si="24"/>
        <v>7.9999999999999929</v>
      </c>
      <c r="N816" s="14">
        <f t="shared" si="25"/>
        <v>50</v>
      </c>
    </row>
    <row r="817" spans="1:14" ht="12.75" x14ac:dyDescent="0.2">
      <c r="A817" s="1" t="s">
        <v>1012</v>
      </c>
      <c r="B817" s="3" t="s">
        <v>1013</v>
      </c>
      <c r="C817" s="4">
        <v>43520</v>
      </c>
      <c r="D817" s="2">
        <v>0.79166666666666663</v>
      </c>
      <c r="E817" s="1" t="s">
        <v>514</v>
      </c>
      <c r="F817" s="5">
        <v>0</v>
      </c>
      <c r="G817" s="5">
        <v>2</v>
      </c>
      <c r="H817" s="1">
        <v>1.26</v>
      </c>
      <c r="I817" s="1">
        <v>5.25</v>
      </c>
      <c r="J817" s="1">
        <v>9.5299999999999994</v>
      </c>
      <c r="K817" s="6">
        <f>+H817-J817</f>
        <v>-8.27</v>
      </c>
      <c r="L817" s="7" t="str">
        <f>IF(F817-G817&gt;0,"Win","Loss")</f>
        <v>Loss</v>
      </c>
      <c r="M817" s="14">
        <f t="shared" si="24"/>
        <v>-50</v>
      </c>
      <c r="N817" s="14">
        <f t="shared" si="25"/>
        <v>50</v>
      </c>
    </row>
    <row r="818" spans="1:14" ht="12.75" x14ac:dyDescent="0.2">
      <c r="A818" s="1" t="s">
        <v>1014</v>
      </c>
      <c r="B818" s="3" t="s">
        <v>1015</v>
      </c>
      <c r="C818" s="4">
        <v>43520</v>
      </c>
      <c r="D818" s="2">
        <v>0.66666666666666663</v>
      </c>
      <c r="E818" s="1" t="s">
        <v>552</v>
      </c>
      <c r="F818" s="5">
        <v>3</v>
      </c>
      <c r="G818" s="5">
        <v>0</v>
      </c>
      <c r="H818" s="1">
        <v>1.35</v>
      </c>
      <c r="I818" s="1">
        <v>4.47</v>
      </c>
      <c r="J818" s="1">
        <v>8.64</v>
      </c>
      <c r="K818" s="6">
        <f>+H818-J818</f>
        <v>-7.2900000000000009</v>
      </c>
      <c r="L818" s="7" t="str">
        <f>IF(F818-G818&gt;0,"Win","Loss")</f>
        <v>Win</v>
      </c>
      <c r="M818" s="14">
        <f t="shared" si="24"/>
        <v>17.5</v>
      </c>
      <c r="N818" s="14">
        <f t="shared" si="25"/>
        <v>50</v>
      </c>
    </row>
    <row r="819" spans="1:14" ht="12.75" x14ac:dyDescent="0.2">
      <c r="A819" s="1" t="s">
        <v>1014</v>
      </c>
      <c r="B819" s="3" t="s">
        <v>1015</v>
      </c>
      <c r="C819" s="4">
        <v>43520</v>
      </c>
      <c r="D819" s="2">
        <v>0.625</v>
      </c>
      <c r="E819" s="1" t="s">
        <v>534</v>
      </c>
      <c r="F819" s="5">
        <v>1</v>
      </c>
      <c r="G819" s="5">
        <v>2</v>
      </c>
      <c r="H819" s="1">
        <v>2.15</v>
      </c>
      <c r="I819" s="1">
        <v>3.58</v>
      </c>
      <c r="J819" s="1">
        <v>2.98</v>
      </c>
      <c r="K819" s="6">
        <f>+H819-J819</f>
        <v>-0.83000000000000007</v>
      </c>
      <c r="L819" s="7" t="str">
        <f>IF(F819-G819&gt;0,"Win","Loss")</f>
        <v>Loss</v>
      </c>
      <c r="M819" s="14">
        <f t="shared" si="24"/>
        <v>-50</v>
      </c>
      <c r="N819" s="14">
        <f t="shared" si="25"/>
        <v>50</v>
      </c>
    </row>
    <row r="820" spans="1:14" ht="12.75" x14ac:dyDescent="0.2">
      <c r="A820" s="1" t="s">
        <v>1014</v>
      </c>
      <c r="B820" s="3" t="s">
        <v>1015</v>
      </c>
      <c r="C820" s="4">
        <v>43520</v>
      </c>
      <c r="D820" s="2">
        <v>0.58333333333333337</v>
      </c>
      <c r="E820" s="1" t="s">
        <v>553</v>
      </c>
      <c r="F820" s="5">
        <v>1</v>
      </c>
      <c r="G820" s="5">
        <v>1</v>
      </c>
      <c r="H820" s="1">
        <v>2.27</v>
      </c>
      <c r="I820" s="1">
        <v>3.37</v>
      </c>
      <c r="J820" s="1">
        <v>2.9</v>
      </c>
      <c r="K820" s="6">
        <f>+H820-J820</f>
        <v>-0.62999999999999989</v>
      </c>
      <c r="L820" s="7" t="str">
        <f>IF(F820-G820&gt;0,"Win","Loss")</f>
        <v>Loss</v>
      </c>
      <c r="M820" s="14">
        <f t="shared" si="24"/>
        <v>-50</v>
      </c>
      <c r="N820" s="14">
        <f t="shared" si="25"/>
        <v>50</v>
      </c>
    </row>
    <row r="821" spans="1:14" ht="12.75" x14ac:dyDescent="0.2">
      <c r="A821" s="1" t="s">
        <v>1000</v>
      </c>
      <c r="B821" s="3" t="s">
        <v>1001</v>
      </c>
      <c r="C821" s="4">
        <v>43522</v>
      </c>
      <c r="D821" s="2">
        <v>0</v>
      </c>
      <c r="E821" s="1" t="s">
        <v>173</v>
      </c>
      <c r="F821" s="5">
        <v>2</v>
      </c>
      <c r="G821" s="5">
        <v>2</v>
      </c>
      <c r="H821" s="1">
        <v>2.1800000000000002</v>
      </c>
      <c r="I821" s="1">
        <v>2.94</v>
      </c>
      <c r="J821" s="1">
        <v>3.51</v>
      </c>
      <c r="K821" s="6">
        <f>+H821-J821</f>
        <v>-1.3299999999999996</v>
      </c>
      <c r="L821" s="7" t="str">
        <f>IF(F821-G821&gt;0,"Win","Loss")</f>
        <v>Loss</v>
      </c>
      <c r="M821" s="14">
        <f t="shared" si="24"/>
        <v>-50</v>
      </c>
      <c r="N821" s="14">
        <f t="shared" si="25"/>
        <v>50</v>
      </c>
    </row>
    <row r="822" spans="1:14" ht="12.75" x14ac:dyDescent="0.2">
      <c r="A822" s="1" t="s">
        <v>1012</v>
      </c>
      <c r="B822" s="3" t="s">
        <v>1013</v>
      </c>
      <c r="C822" s="4">
        <v>43522</v>
      </c>
      <c r="D822" s="2">
        <v>0</v>
      </c>
      <c r="E822" s="1" t="s">
        <v>510</v>
      </c>
      <c r="F822" s="5">
        <v>1</v>
      </c>
      <c r="G822" s="5">
        <v>1</v>
      </c>
      <c r="H822" s="1">
        <v>2.37</v>
      </c>
      <c r="I822" s="1">
        <v>3.7</v>
      </c>
      <c r="J822" s="1">
        <v>2.58</v>
      </c>
      <c r="K822" s="6">
        <f>+H822-J822</f>
        <v>-0.20999999999999996</v>
      </c>
      <c r="L822" s="7" t="str">
        <f>IF(F822-G822&gt;0,"Win","Loss")</f>
        <v>Loss</v>
      </c>
      <c r="M822" s="14">
        <f t="shared" si="24"/>
        <v>-50</v>
      </c>
      <c r="N822" s="14">
        <f t="shared" si="25"/>
        <v>50</v>
      </c>
    </row>
    <row r="823" spans="1:14" ht="12.75" x14ac:dyDescent="0.2">
      <c r="A823" s="1" t="s">
        <v>1026</v>
      </c>
      <c r="B823" s="3" t="s">
        <v>1028</v>
      </c>
      <c r="C823" s="4">
        <v>43522</v>
      </c>
      <c r="D823" s="2">
        <v>0.82291666666666663</v>
      </c>
      <c r="E823" s="1" t="s">
        <v>877</v>
      </c>
      <c r="F823" s="5">
        <v>0</v>
      </c>
      <c r="G823" s="5">
        <v>3</v>
      </c>
      <c r="H823" s="1">
        <v>2.5499999999999998</v>
      </c>
      <c r="I823" s="1">
        <v>3.31</v>
      </c>
      <c r="J823" s="1">
        <v>2.71</v>
      </c>
      <c r="K823" s="6">
        <f>+H823-J823</f>
        <v>-0.16000000000000014</v>
      </c>
      <c r="L823" s="7" t="str">
        <f>IF(F823-G823&gt;0,"Win","Loss")</f>
        <v>Loss</v>
      </c>
      <c r="M823" s="14">
        <f t="shared" si="24"/>
        <v>-50</v>
      </c>
      <c r="N823" s="14">
        <f t="shared" si="25"/>
        <v>50</v>
      </c>
    </row>
    <row r="824" spans="1:14" ht="12.75" x14ac:dyDescent="0.2">
      <c r="A824" s="1" t="s">
        <v>1012</v>
      </c>
      <c r="B824" s="3" t="s">
        <v>1013</v>
      </c>
      <c r="C824" s="4">
        <v>43523</v>
      </c>
      <c r="D824" s="2">
        <v>0.92708333333333337</v>
      </c>
      <c r="E824" s="1" t="s">
        <v>509</v>
      </c>
      <c r="F824" s="5">
        <v>3</v>
      </c>
      <c r="G824" s="5">
        <v>3</v>
      </c>
      <c r="H824" s="1">
        <v>1.19</v>
      </c>
      <c r="I824" s="1">
        <v>6.39</v>
      </c>
      <c r="J824" s="1">
        <v>11.14</v>
      </c>
      <c r="K824" s="6">
        <f>+H824-J824</f>
        <v>-9.9500000000000011</v>
      </c>
      <c r="L824" s="7" t="str">
        <f>IF(F824-G824&gt;0,"Win","Loss")</f>
        <v>Loss</v>
      </c>
      <c r="M824" s="14">
        <f t="shared" si="24"/>
        <v>-50</v>
      </c>
      <c r="N824" s="14">
        <f t="shared" si="25"/>
        <v>50</v>
      </c>
    </row>
    <row r="825" spans="1:14" ht="12.75" x14ac:dyDescent="0.2">
      <c r="A825" s="1" t="s">
        <v>1020</v>
      </c>
      <c r="B825" s="3" t="s">
        <v>1021</v>
      </c>
      <c r="C825" s="4">
        <v>43523</v>
      </c>
      <c r="D825" s="2">
        <v>0.5</v>
      </c>
      <c r="E825" s="1" t="s">
        <v>699</v>
      </c>
      <c r="F825" s="5">
        <v>1</v>
      </c>
      <c r="G825" s="5">
        <v>2</v>
      </c>
      <c r="H825" s="1">
        <v>3.78</v>
      </c>
      <c r="I825" s="1">
        <v>4.43</v>
      </c>
      <c r="J825" s="1">
        <v>1.64</v>
      </c>
      <c r="K825" s="6">
        <f>+H825-J825</f>
        <v>2.1399999999999997</v>
      </c>
      <c r="L825" s="7" t="str">
        <f>IF(F825-G825&gt;0,"Win","Loss")</f>
        <v>Loss</v>
      </c>
      <c r="M825" s="14">
        <f t="shared" si="24"/>
        <v>-50</v>
      </c>
      <c r="N825" s="14">
        <f t="shared" si="25"/>
        <v>50</v>
      </c>
    </row>
    <row r="826" spans="1:14" ht="12.75" x14ac:dyDescent="0.2">
      <c r="A826" s="1" t="s">
        <v>1012</v>
      </c>
      <c r="B826" s="3" t="s">
        <v>1013</v>
      </c>
      <c r="C826" s="4">
        <v>43524</v>
      </c>
      <c r="D826" s="2">
        <v>0.79166666666666663</v>
      </c>
      <c r="E826" s="1" t="s">
        <v>507</v>
      </c>
      <c r="F826" s="5">
        <v>1</v>
      </c>
      <c r="G826" s="5">
        <v>2</v>
      </c>
      <c r="H826" s="1">
        <v>1.75</v>
      </c>
      <c r="I826" s="1">
        <v>3.95</v>
      </c>
      <c r="J826" s="1">
        <v>3.79</v>
      </c>
      <c r="K826" s="6">
        <f>+H826-J826</f>
        <v>-2.04</v>
      </c>
      <c r="L826" s="7" t="str">
        <f>IF(F826-G826&gt;0,"Win","Loss")</f>
        <v>Loss</v>
      </c>
      <c r="M826" s="14">
        <f t="shared" si="24"/>
        <v>-50</v>
      </c>
      <c r="N826" s="14">
        <f t="shared" si="25"/>
        <v>50</v>
      </c>
    </row>
    <row r="827" spans="1:14" ht="12.75" x14ac:dyDescent="0.2">
      <c r="A827" s="1" t="s">
        <v>1012</v>
      </c>
      <c r="B827" s="3" t="s">
        <v>1013</v>
      </c>
      <c r="C827" s="4">
        <v>43524</v>
      </c>
      <c r="D827" s="2">
        <v>2.0833333333333332E-2</v>
      </c>
      <c r="E827" s="1" t="s">
        <v>508</v>
      </c>
      <c r="F827" s="5">
        <v>2</v>
      </c>
      <c r="G827" s="5">
        <v>2</v>
      </c>
      <c r="H827" s="1">
        <v>4.21</v>
      </c>
      <c r="I827" s="1">
        <v>4.0999999999999996</v>
      </c>
      <c r="J827" s="1">
        <v>1.66</v>
      </c>
      <c r="K827" s="6">
        <f>+H827-J827</f>
        <v>2.5499999999999998</v>
      </c>
      <c r="L827" s="7" t="str">
        <f>IF(F827-G827&gt;0,"Win","Loss")</f>
        <v>Loss</v>
      </c>
      <c r="M827" s="14">
        <f t="shared" si="24"/>
        <v>-50</v>
      </c>
      <c r="N827" s="14">
        <f t="shared" si="25"/>
        <v>50</v>
      </c>
    </row>
    <row r="828" spans="1:14" ht="12.75" x14ac:dyDescent="0.2">
      <c r="A828" s="1" t="s">
        <v>996</v>
      </c>
      <c r="B828" s="3" t="s">
        <v>997</v>
      </c>
      <c r="C828" s="4">
        <v>43525</v>
      </c>
      <c r="D828" s="2">
        <v>0.70833333333333337</v>
      </c>
      <c r="E828" s="1" t="s">
        <v>75</v>
      </c>
      <c r="F828" s="5">
        <v>0</v>
      </c>
      <c r="G828" s="5">
        <v>0</v>
      </c>
      <c r="H828" s="1">
        <v>3.32</v>
      </c>
      <c r="I828" s="1">
        <v>2.84</v>
      </c>
      <c r="J828" s="1">
        <v>2.21</v>
      </c>
      <c r="K828" s="6">
        <f>+H828-J828</f>
        <v>1.1099999999999999</v>
      </c>
      <c r="L828" s="7" t="str">
        <f>IF(F828-G828&gt;0,"Win","Loss")</f>
        <v>Loss</v>
      </c>
      <c r="M828" s="14">
        <f t="shared" si="24"/>
        <v>-50</v>
      </c>
      <c r="N828" s="14">
        <f t="shared" si="25"/>
        <v>50</v>
      </c>
    </row>
    <row r="829" spans="1:14" ht="12.75" x14ac:dyDescent="0.2">
      <c r="A829" s="1" t="s">
        <v>1000</v>
      </c>
      <c r="B829" s="3" t="s">
        <v>1001</v>
      </c>
      <c r="C829" s="4">
        <v>43525</v>
      </c>
      <c r="D829" s="2">
        <v>0.83333333333333337</v>
      </c>
      <c r="E829" s="1" t="s">
        <v>172</v>
      </c>
      <c r="F829" s="5">
        <v>1</v>
      </c>
      <c r="G829" s="5">
        <v>1</v>
      </c>
      <c r="H829" s="1">
        <v>2.2599999999999998</v>
      </c>
      <c r="I829" s="1">
        <v>2.74</v>
      </c>
      <c r="J829" s="1">
        <v>3.62</v>
      </c>
      <c r="K829" s="6">
        <f>+H829-J829</f>
        <v>-1.3600000000000003</v>
      </c>
      <c r="L829" s="7" t="str">
        <f>IF(F829-G829&gt;0,"Win","Loss")</f>
        <v>Loss</v>
      </c>
      <c r="M829" s="14">
        <f t="shared" si="24"/>
        <v>-50</v>
      </c>
      <c r="N829" s="14">
        <f t="shared" si="25"/>
        <v>50</v>
      </c>
    </row>
    <row r="830" spans="1:14" ht="12.75" x14ac:dyDescent="0.2">
      <c r="A830" s="1" t="s">
        <v>1012</v>
      </c>
      <c r="B830" s="3" t="s">
        <v>1013</v>
      </c>
      <c r="C830" s="4">
        <v>43525</v>
      </c>
      <c r="D830" s="2">
        <v>0</v>
      </c>
      <c r="E830" s="1" t="s">
        <v>506</v>
      </c>
      <c r="F830" s="5">
        <v>2</v>
      </c>
      <c r="G830" s="5">
        <v>3</v>
      </c>
      <c r="H830" s="1">
        <v>1.51</v>
      </c>
      <c r="I830" s="1">
        <v>4.1900000000000004</v>
      </c>
      <c r="J830" s="1">
        <v>5.45</v>
      </c>
      <c r="K830" s="6">
        <f>+H830-J830</f>
        <v>-3.9400000000000004</v>
      </c>
      <c r="L830" s="7" t="str">
        <f>IF(F830-G830&gt;0,"Win","Loss")</f>
        <v>Loss</v>
      </c>
      <c r="M830" s="14">
        <f t="shared" si="24"/>
        <v>-50</v>
      </c>
      <c r="N830" s="14">
        <f t="shared" si="25"/>
        <v>50</v>
      </c>
    </row>
    <row r="831" spans="1:14" ht="12.75" x14ac:dyDescent="0.2">
      <c r="A831" s="1" t="s">
        <v>1020</v>
      </c>
      <c r="B831" s="3" t="s">
        <v>1021</v>
      </c>
      <c r="C831" s="4">
        <v>43525</v>
      </c>
      <c r="D831" s="2">
        <v>0.47916666666666669</v>
      </c>
      <c r="E831" s="1" t="s">
        <v>697</v>
      </c>
      <c r="F831" s="5">
        <v>2</v>
      </c>
      <c r="G831" s="5">
        <v>5</v>
      </c>
      <c r="H831" s="1">
        <v>5.54</v>
      </c>
      <c r="I831" s="1">
        <v>5</v>
      </c>
      <c r="J831" s="1">
        <v>1.39</v>
      </c>
      <c r="K831" s="6">
        <f>+H831-J831</f>
        <v>4.1500000000000004</v>
      </c>
      <c r="L831" s="7" t="str">
        <f>IF(F831-G831&gt;0,"Win","Loss")</f>
        <v>Loss</v>
      </c>
      <c r="M831" s="14">
        <f t="shared" si="24"/>
        <v>-50</v>
      </c>
      <c r="N831" s="14">
        <f t="shared" si="25"/>
        <v>50</v>
      </c>
    </row>
    <row r="832" spans="1:14" ht="12.75" x14ac:dyDescent="0.2">
      <c r="A832" s="1" t="s">
        <v>1020</v>
      </c>
      <c r="B832" s="3" t="s">
        <v>1021</v>
      </c>
      <c r="C832" s="4">
        <v>43525</v>
      </c>
      <c r="D832" s="2">
        <v>0.45833333333333331</v>
      </c>
      <c r="E832" s="1" t="s">
        <v>698</v>
      </c>
      <c r="F832" s="5">
        <v>2</v>
      </c>
      <c r="G832" s="5" t="s">
        <v>979</v>
      </c>
      <c r="H832" s="1">
        <v>1.41</v>
      </c>
      <c r="I832" s="1">
        <v>4.7699999999999996</v>
      </c>
      <c r="J832" s="1">
        <v>5.54</v>
      </c>
      <c r="K832" s="6">
        <f>+H832-J832</f>
        <v>-4.13</v>
      </c>
      <c r="L832" s="7" t="str">
        <f>IF(F832-G832&gt;0,"Win","Loss")</f>
        <v>Win</v>
      </c>
      <c r="M832" s="14">
        <f t="shared" si="24"/>
        <v>20.5</v>
      </c>
      <c r="N832" s="14">
        <f t="shared" si="25"/>
        <v>50</v>
      </c>
    </row>
    <row r="833" spans="1:14" ht="12.75" x14ac:dyDescent="0.2">
      <c r="A833" s="1" t="s">
        <v>996</v>
      </c>
      <c r="B833" s="3" t="s">
        <v>997</v>
      </c>
      <c r="C833" s="4">
        <v>43526</v>
      </c>
      <c r="D833" s="2">
        <v>0.54166666666666663</v>
      </c>
      <c r="E833" s="1" t="s">
        <v>74</v>
      </c>
      <c r="F833" s="5">
        <v>3</v>
      </c>
      <c r="G833" s="5">
        <v>0</v>
      </c>
      <c r="H833" s="1">
        <v>1.69</v>
      </c>
      <c r="I833" s="1">
        <v>3.13</v>
      </c>
      <c r="J833" s="1">
        <v>5</v>
      </c>
      <c r="K833" s="6">
        <f>+H833-J833</f>
        <v>-3.31</v>
      </c>
      <c r="L833" s="7" t="str">
        <f>IF(F833-G833&gt;0,"Win","Loss")</f>
        <v>Win</v>
      </c>
      <c r="M833" s="14">
        <f t="shared" si="24"/>
        <v>34.5</v>
      </c>
      <c r="N833" s="14">
        <f t="shared" si="25"/>
        <v>50</v>
      </c>
    </row>
    <row r="834" spans="1:14" ht="12.75" x14ac:dyDescent="0.2">
      <c r="A834" s="1" t="s">
        <v>1000</v>
      </c>
      <c r="B834" s="3" t="s">
        <v>1001</v>
      </c>
      <c r="C834" s="4">
        <v>43526</v>
      </c>
      <c r="D834" s="2">
        <v>0.92013888888888884</v>
      </c>
      <c r="E834" s="1" t="s">
        <v>167</v>
      </c>
      <c r="F834" s="5">
        <v>2</v>
      </c>
      <c r="G834" s="5">
        <v>2</v>
      </c>
      <c r="H834" s="1">
        <v>2.37</v>
      </c>
      <c r="I834" s="1">
        <v>2.83</v>
      </c>
      <c r="J834" s="1">
        <v>3.25</v>
      </c>
      <c r="K834" s="6">
        <f>+H834-J834</f>
        <v>-0.87999999999999989</v>
      </c>
      <c r="L834" s="7" t="str">
        <f>IF(F834-G834&gt;0,"Win","Loss")</f>
        <v>Loss</v>
      </c>
      <c r="M834" s="14">
        <f t="shared" si="24"/>
        <v>-50</v>
      </c>
      <c r="N834" s="14">
        <f t="shared" si="25"/>
        <v>50</v>
      </c>
    </row>
    <row r="835" spans="1:14" ht="12.75" x14ac:dyDescent="0.2">
      <c r="A835" s="1" t="s">
        <v>1000</v>
      </c>
      <c r="B835" s="3" t="s">
        <v>1001</v>
      </c>
      <c r="C835" s="4">
        <v>43526</v>
      </c>
      <c r="D835" s="2">
        <v>0.83333333333333337</v>
      </c>
      <c r="E835" s="1" t="s">
        <v>168</v>
      </c>
      <c r="F835" s="5">
        <v>3</v>
      </c>
      <c r="G835" s="5">
        <v>0</v>
      </c>
      <c r="H835" s="1">
        <v>1.8</v>
      </c>
      <c r="I835" s="1">
        <v>3.05</v>
      </c>
      <c r="J835" s="1">
        <v>4.92</v>
      </c>
      <c r="K835" s="6">
        <f>+H835-J835</f>
        <v>-3.12</v>
      </c>
      <c r="L835" s="7" t="str">
        <f>IF(F835-G835&gt;0,"Win","Loss")</f>
        <v>Win</v>
      </c>
      <c r="M835" s="14">
        <f t="shared" si="24"/>
        <v>40</v>
      </c>
      <c r="N835" s="14">
        <f t="shared" si="25"/>
        <v>50</v>
      </c>
    </row>
    <row r="836" spans="1:14" ht="12.75" x14ac:dyDescent="0.2">
      <c r="A836" s="1" t="s">
        <v>1000</v>
      </c>
      <c r="B836" s="3" t="s">
        <v>1001</v>
      </c>
      <c r="C836" s="4">
        <v>43526</v>
      </c>
      <c r="D836" s="2">
        <v>0.83333333333333337</v>
      </c>
      <c r="E836" s="1" t="s">
        <v>169</v>
      </c>
      <c r="F836" s="5">
        <v>1</v>
      </c>
      <c r="G836" s="5">
        <v>1</v>
      </c>
      <c r="H836" s="1">
        <v>3.19</v>
      </c>
      <c r="I836" s="1">
        <v>2.69</v>
      </c>
      <c r="J836" s="1">
        <v>2.5099999999999998</v>
      </c>
      <c r="K836" s="6">
        <f>+H836-J836</f>
        <v>0.68000000000000016</v>
      </c>
      <c r="L836" s="7" t="str">
        <f>IF(F836-G836&gt;0,"Win","Loss")</f>
        <v>Loss</v>
      </c>
      <c r="M836" s="14">
        <f t="shared" si="24"/>
        <v>-50</v>
      </c>
      <c r="N836" s="14">
        <f t="shared" si="25"/>
        <v>50</v>
      </c>
    </row>
    <row r="837" spans="1:14" ht="12.75" x14ac:dyDescent="0.2">
      <c r="A837" s="1" t="s">
        <v>1000</v>
      </c>
      <c r="B837" s="3" t="s">
        <v>1001</v>
      </c>
      <c r="C837" s="4">
        <v>43526</v>
      </c>
      <c r="D837" s="2">
        <v>4.1666666666666664E-2</v>
      </c>
      <c r="E837" s="1" t="s">
        <v>170</v>
      </c>
      <c r="F837" s="5">
        <v>1</v>
      </c>
      <c r="G837" s="5">
        <v>1</v>
      </c>
      <c r="H837" s="1">
        <v>2.25</v>
      </c>
      <c r="I837" s="1">
        <v>2.81</v>
      </c>
      <c r="J837" s="1">
        <v>3.55</v>
      </c>
      <c r="K837" s="6">
        <f>+H837-J837</f>
        <v>-1.2999999999999998</v>
      </c>
      <c r="L837" s="7" t="str">
        <f>IF(F837-G837&gt;0,"Win","Loss")</f>
        <v>Loss</v>
      </c>
      <c r="M837" s="14">
        <f t="shared" si="24"/>
        <v>-50</v>
      </c>
      <c r="N837" s="14">
        <f t="shared" si="25"/>
        <v>50</v>
      </c>
    </row>
    <row r="838" spans="1:14" ht="12.75" x14ac:dyDescent="0.2">
      <c r="A838" s="1" t="s">
        <v>1000</v>
      </c>
      <c r="B838" s="3" t="s">
        <v>1001</v>
      </c>
      <c r="C838" s="4">
        <v>43526</v>
      </c>
      <c r="D838" s="2">
        <v>0</v>
      </c>
      <c r="E838" s="1" t="s">
        <v>171</v>
      </c>
      <c r="F838" s="5">
        <v>2</v>
      </c>
      <c r="G838" s="5">
        <v>1</v>
      </c>
      <c r="H838" s="1">
        <v>2.67</v>
      </c>
      <c r="I838" s="1">
        <v>2.83</v>
      </c>
      <c r="J838" s="1">
        <v>2.81</v>
      </c>
      <c r="K838" s="6">
        <f>+H838-J838</f>
        <v>-0.14000000000000012</v>
      </c>
      <c r="L838" s="7" t="str">
        <f>IF(F838-G838&gt;0,"Win","Loss")</f>
        <v>Win</v>
      </c>
      <c r="M838" s="14">
        <f t="shared" si="24"/>
        <v>83.5</v>
      </c>
      <c r="N838" s="14">
        <f t="shared" si="25"/>
        <v>50</v>
      </c>
    </row>
    <row r="839" spans="1:14" ht="12.75" x14ac:dyDescent="0.2">
      <c r="A839" s="1" t="s">
        <v>1012</v>
      </c>
      <c r="B839" s="3" t="s">
        <v>1013</v>
      </c>
      <c r="C839" s="4">
        <v>43526</v>
      </c>
      <c r="D839" s="2">
        <v>0</v>
      </c>
      <c r="E839" s="1" t="s">
        <v>505</v>
      </c>
      <c r="F839" s="5">
        <v>0</v>
      </c>
      <c r="G839" s="5">
        <v>1</v>
      </c>
      <c r="H839" s="1">
        <v>2.69</v>
      </c>
      <c r="I839" s="1">
        <v>3.42</v>
      </c>
      <c r="J839" s="1">
        <v>2.37</v>
      </c>
      <c r="K839" s="6">
        <f>+H839-J839</f>
        <v>0.31999999999999984</v>
      </c>
      <c r="L839" s="7" t="str">
        <f>IF(F839-G839&gt;0,"Win","Loss")</f>
        <v>Loss</v>
      </c>
      <c r="M839" s="14">
        <f t="shared" si="24"/>
        <v>-50</v>
      </c>
      <c r="N839" s="14">
        <f t="shared" si="25"/>
        <v>50</v>
      </c>
    </row>
    <row r="840" spans="1:14" ht="12.75" x14ac:dyDescent="0.2">
      <c r="A840" s="1" t="s">
        <v>1014</v>
      </c>
      <c r="B840" s="3" t="s">
        <v>1015</v>
      </c>
      <c r="C840" s="4">
        <v>43526</v>
      </c>
      <c r="D840" s="2">
        <v>0.6875</v>
      </c>
      <c r="E840" s="1" t="s">
        <v>549</v>
      </c>
      <c r="F840" s="5">
        <v>1</v>
      </c>
      <c r="G840" s="5">
        <v>1</v>
      </c>
      <c r="H840" s="1">
        <v>5.91</v>
      </c>
      <c r="I840" s="1">
        <v>3.91</v>
      </c>
      <c r="J840" s="1">
        <v>1.53</v>
      </c>
      <c r="K840" s="6">
        <f>+H840-J840</f>
        <v>4.38</v>
      </c>
      <c r="L840" s="7" t="str">
        <f>IF(F840-G840&gt;0,"Win","Loss")</f>
        <v>Loss</v>
      </c>
      <c r="M840" s="14">
        <f t="shared" si="24"/>
        <v>-50</v>
      </c>
      <c r="N840" s="14">
        <f t="shared" si="25"/>
        <v>50</v>
      </c>
    </row>
    <row r="841" spans="1:14" ht="12.75" x14ac:dyDescent="0.2">
      <c r="A841" s="1" t="s">
        <v>1014</v>
      </c>
      <c r="B841" s="3" t="s">
        <v>1015</v>
      </c>
      <c r="C841" s="4">
        <v>43526</v>
      </c>
      <c r="D841" s="2">
        <v>0.66666666666666663</v>
      </c>
      <c r="E841" s="1" t="s">
        <v>550</v>
      </c>
      <c r="F841" s="5">
        <v>3</v>
      </c>
      <c r="G841" s="5">
        <v>1</v>
      </c>
      <c r="H841" s="1">
        <v>1.38</v>
      </c>
      <c r="I841" s="1">
        <v>4.3</v>
      </c>
      <c r="J841" s="1">
        <v>8.16</v>
      </c>
      <c r="K841" s="6">
        <f>+H841-J841</f>
        <v>-6.78</v>
      </c>
      <c r="L841" s="7" t="str">
        <f>IF(F841-G841&gt;0,"Win","Loss")</f>
        <v>Win</v>
      </c>
      <c r="M841" s="14">
        <f t="shared" si="24"/>
        <v>19</v>
      </c>
      <c r="N841" s="14">
        <f t="shared" si="25"/>
        <v>50</v>
      </c>
    </row>
    <row r="842" spans="1:14" ht="12.75" x14ac:dyDescent="0.2">
      <c r="A842" s="1" t="s">
        <v>1014</v>
      </c>
      <c r="B842" s="3" t="s">
        <v>1015</v>
      </c>
      <c r="C842" s="4">
        <v>43526</v>
      </c>
      <c r="D842" s="2">
        <v>0.625</v>
      </c>
      <c r="E842" s="1" t="s">
        <v>551</v>
      </c>
      <c r="F842" s="5">
        <v>1</v>
      </c>
      <c r="G842" s="5">
        <v>0</v>
      </c>
      <c r="H842" s="1">
        <v>1.83</v>
      </c>
      <c r="I842" s="1">
        <v>3.56</v>
      </c>
      <c r="J842" s="1">
        <v>4.01</v>
      </c>
      <c r="K842" s="6">
        <f>+H842-J842</f>
        <v>-2.1799999999999997</v>
      </c>
      <c r="L842" s="7" t="str">
        <f>IF(F842-G842&gt;0,"Win","Loss")</f>
        <v>Win</v>
      </c>
      <c r="M842" s="14">
        <f t="shared" si="24"/>
        <v>41.5</v>
      </c>
      <c r="N842" s="14">
        <f t="shared" si="25"/>
        <v>50</v>
      </c>
    </row>
    <row r="843" spans="1:14" ht="12.75" x14ac:dyDescent="0.2">
      <c r="A843" s="1" t="s">
        <v>1020</v>
      </c>
      <c r="B843" s="3" t="s">
        <v>1021</v>
      </c>
      <c r="C843" s="4">
        <v>43526</v>
      </c>
      <c r="D843" s="2">
        <v>0.52083333333333337</v>
      </c>
      <c r="E843" s="1" t="s">
        <v>692</v>
      </c>
      <c r="F843" s="5">
        <v>1</v>
      </c>
      <c r="G843" s="5" t="s">
        <v>978</v>
      </c>
      <c r="H843" s="1">
        <v>2.21</v>
      </c>
      <c r="I843" s="1">
        <v>3.43</v>
      </c>
      <c r="J843" s="1">
        <v>2.84</v>
      </c>
      <c r="K843" s="6">
        <f>+H843-J843</f>
        <v>-0.62999999999999989</v>
      </c>
      <c r="L843" s="7" t="str">
        <f>IF(F843-G843&gt;0,"Win","Loss")</f>
        <v>Win</v>
      </c>
      <c r="M843" s="14">
        <f t="shared" si="24"/>
        <v>60.5</v>
      </c>
      <c r="N843" s="14">
        <f t="shared" si="25"/>
        <v>50</v>
      </c>
    </row>
    <row r="844" spans="1:14" ht="12.75" x14ac:dyDescent="0.2">
      <c r="A844" s="1" t="s">
        <v>1020</v>
      </c>
      <c r="B844" s="3" t="s">
        <v>1021</v>
      </c>
      <c r="C844" s="4">
        <v>43526</v>
      </c>
      <c r="D844" s="2">
        <v>0.5</v>
      </c>
      <c r="E844" s="1" t="s">
        <v>693</v>
      </c>
      <c r="F844" s="5">
        <v>1</v>
      </c>
      <c r="G844" s="5">
        <v>0</v>
      </c>
      <c r="H844" s="1">
        <v>1.61</v>
      </c>
      <c r="I844" s="1">
        <v>4.08</v>
      </c>
      <c r="J844" s="1">
        <v>4.4000000000000004</v>
      </c>
      <c r="K844" s="6">
        <f>+H844-J844</f>
        <v>-2.79</v>
      </c>
      <c r="L844" s="7" t="str">
        <f>IF(F844-G844&gt;0,"Win","Loss")</f>
        <v>Win</v>
      </c>
      <c r="M844" s="14">
        <f t="shared" si="24"/>
        <v>30.5</v>
      </c>
      <c r="N844" s="14">
        <f t="shared" si="25"/>
        <v>50</v>
      </c>
    </row>
    <row r="845" spans="1:14" ht="12.75" x14ac:dyDescent="0.2">
      <c r="A845" s="1" t="s">
        <v>1020</v>
      </c>
      <c r="B845" s="3" t="s">
        <v>1021</v>
      </c>
      <c r="C845" s="4">
        <v>43526</v>
      </c>
      <c r="D845" s="2">
        <v>0.45833333333333331</v>
      </c>
      <c r="E845" s="1" t="s">
        <v>694</v>
      </c>
      <c r="F845" s="5">
        <v>3</v>
      </c>
      <c r="G845" s="5">
        <v>1</v>
      </c>
      <c r="H845" s="1">
        <v>1.2</v>
      </c>
      <c r="I845" s="1">
        <v>5.89</v>
      </c>
      <c r="J845" s="1">
        <v>9.7200000000000006</v>
      </c>
      <c r="K845" s="6">
        <f>+H845-J845</f>
        <v>-8.5200000000000014</v>
      </c>
      <c r="L845" s="7" t="str">
        <f>IF(F845-G845&gt;0,"Win","Loss")</f>
        <v>Win</v>
      </c>
      <c r="M845" s="14">
        <f t="shared" si="24"/>
        <v>10</v>
      </c>
      <c r="N845" s="14">
        <f t="shared" si="25"/>
        <v>50</v>
      </c>
    </row>
    <row r="846" spans="1:14" ht="12.75" x14ac:dyDescent="0.2">
      <c r="A846" s="1" t="s">
        <v>1020</v>
      </c>
      <c r="B846" s="3" t="s">
        <v>1021</v>
      </c>
      <c r="C846" s="4">
        <v>43526</v>
      </c>
      <c r="D846" s="2">
        <v>0.4375</v>
      </c>
      <c r="E846" s="1" t="s">
        <v>695</v>
      </c>
      <c r="F846" s="5">
        <v>0</v>
      </c>
      <c r="G846" s="5">
        <v>1</v>
      </c>
      <c r="H846" s="1">
        <v>2.1800000000000002</v>
      </c>
      <c r="I846" s="1">
        <v>3.48</v>
      </c>
      <c r="J846" s="1">
        <v>2.74</v>
      </c>
      <c r="K846" s="6">
        <f>+H846-J846</f>
        <v>-0.56000000000000005</v>
      </c>
      <c r="L846" s="7" t="str">
        <f>IF(F846-G846&gt;0,"Win","Loss")</f>
        <v>Loss</v>
      </c>
      <c r="M846" s="14">
        <f t="shared" ref="M846:M909" si="26">IF(L846="Win",(H846*N846)-N846,-N846)</f>
        <v>-50</v>
      </c>
      <c r="N846" s="14">
        <f t="shared" ref="N846:N909" si="27">+$M$1</f>
        <v>50</v>
      </c>
    </row>
    <row r="847" spans="1:14" ht="12.75" x14ac:dyDescent="0.2">
      <c r="A847" s="1" t="s">
        <v>1020</v>
      </c>
      <c r="B847" s="3" t="s">
        <v>1021</v>
      </c>
      <c r="C847" s="4">
        <v>43526</v>
      </c>
      <c r="D847" s="2">
        <v>0.41666666666666669</v>
      </c>
      <c r="E847" s="1" t="s">
        <v>696</v>
      </c>
      <c r="F847" s="5">
        <v>2</v>
      </c>
      <c r="G847" s="5">
        <v>1</v>
      </c>
      <c r="H847" s="1">
        <v>1.61</v>
      </c>
      <c r="I847" s="1">
        <v>4.4800000000000004</v>
      </c>
      <c r="J847" s="1">
        <v>11.85</v>
      </c>
      <c r="K847" s="6">
        <f>+H847-J847</f>
        <v>-10.24</v>
      </c>
      <c r="L847" s="7" t="str">
        <f>IF(F847-G847&gt;0,"Win","Loss")</f>
        <v>Win</v>
      </c>
      <c r="M847" s="14">
        <f t="shared" si="26"/>
        <v>30.5</v>
      </c>
      <c r="N847" s="14">
        <f t="shared" si="27"/>
        <v>50</v>
      </c>
    </row>
    <row r="848" spans="1:14" ht="12.75" x14ac:dyDescent="0.2">
      <c r="A848" s="1" t="s">
        <v>996</v>
      </c>
      <c r="B848" s="3" t="s">
        <v>997</v>
      </c>
      <c r="C848" s="4">
        <v>43527</v>
      </c>
      <c r="D848" s="2">
        <v>0.66666666666666663</v>
      </c>
      <c r="E848" s="1" t="s">
        <v>72</v>
      </c>
      <c r="F848" s="5">
        <v>1</v>
      </c>
      <c r="G848" s="5">
        <v>1</v>
      </c>
      <c r="H848" s="1">
        <v>2.2000000000000002</v>
      </c>
      <c r="I848" s="1">
        <v>2.86</v>
      </c>
      <c r="J848" s="1">
        <v>3.25</v>
      </c>
      <c r="K848" s="6">
        <f>+H848-J848</f>
        <v>-1.0499999999999998</v>
      </c>
      <c r="L848" s="7" t="str">
        <f>IF(F848-G848&gt;0,"Win","Loss")</f>
        <v>Loss</v>
      </c>
      <c r="M848" s="14">
        <f t="shared" si="26"/>
        <v>-50</v>
      </c>
      <c r="N848" s="14">
        <f t="shared" si="27"/>
        <v>50</v>
      </c>
    </row>
    <row r="849" spans="1:14" ht="12.75" x14ac:dyDescent="0.2">
      <c r="A849" s="1" t="s">
        <v>996</v>
      </c>
      <c r="B849" s="3" t="s">
        <v>997</v>
      </c>
      <c r="C849" s="4">
        <v>43527</v>
      </c>
      <c r="D849" s="2">
        <v>0.54166666666666663</v>
      </c>
      <c r="E849" s="1" t="s">
        <v>73</v>
      </c>
      <c r="F849" s="5">
        <v>1</v>
      </c>
      <c r="G849" s="5">
        <v>1</v>
      </c>
      <c r="H849" s="1">
        <v>3.11</v>
      </c>
      <c r="I849" s="1">
        <v>2.6</v>
      </c>
      <c r="J849" s="1">
        <v>2.5</v>
      </c>
      <c r="K849" s="6">
        <f>+H849-J849</f>
        <v>0.60999999999999988</v>
      </c>
      <c r="L849" s="7" t="str">
        <f>IF(F849-G849&gt;0,"Win","Loss")</f>
        <v>Loss</v>
      </c>
      <c r="M849" s="14">
        <f t="shared" si="26"/>
        <v>-50</v>
      </c>
      <c r="N849" s="14">
        <f t="shared" si="27"/>
        <v>50</v>
      </c>
    </row>
    <row r="850" spans="1:14" ht="12.75" x14ac:dyDescent="0.2">
      <c r="A850" s="1" t="s">
        <v>998</v>
      </c>
      <c r="B850" s="3" t="s">
        <v>999</v>
      </c>
      <c r="C850" s="4">
        <v>43527</v>
      </c>
      <c r="D850" s="2">
        <v>0.70833333333333337</v>
      </c>
      <c r="E850" s="1" t="s">
        <v>123</v>
      </c>
      <c r="F850" s="5">
        <v>2</v>
      </c>
      <c r="G850" s="5">
        <v>1</v>
      </c>
      <c r="H850" s="1">
        <v>5.98</v>
      </c>
      <c r="I850" s="1">
        <v>4.8600000000000003</v>
      </c>
      <c r="J850" s="1">
        <v>1.36</v>
      </c>
      <c r="K850" s="6">
        <f>+H850-J850</f>
        <v>4.62</v>
      </c>
      <c r="L850" s="7" t="str">
        <f>IF(F850-G850&gt;0,"Win","Loss")</f>
        <v>Win</v>
      </c>
      <c r="M850" s="14">
        <f t="shared" si="26"/>
        <v>249</v>
      </c>
      <c r="N850" s="14">
        <f t="shared" si="27"/>
        <v>50</v>
      </c>
    </row>
    <row r="851" spans="1:14" ht="12.75" x14ac:dyDescent="0.2">
      <c r="A851" s="1" t="s">
        <v>998</v>
      </c>
      <c r="B851" s="3" t="s">
        <v>999</v>
      </c>
      <c r="C851" s="4">
        <v>43527</v>
      </c>
      <c r="D851" s="2">
        <v>0.625</v>
      </c>
      <c r="E851" s="1" t="s">
        <v>124</v>
      </c>
      <c r="F851" s="5">
        <v>0</v>
      </c>
      <c r="G851" s="5">
        <v>1</v>
      </c>
      <c r="H851" s="1">
        <v>2.74</v>
      </c>
      <c r="I851" s="1">
        <v>3.21</v>
      </c>
      <c r="J851" s="1">
        <v>2.31</v>
      </c>
      <c r="K851" s="6">
        <f>+H851-J851</f>
        <v>0.43000000000000016</v>
      </c>
      <c r="L851" s="7" t="str">
        <f>IF(F851-G851&gt;0,"Win","Loss")</f>
        <v>Loss</v>
      </c>
      <c r="M851" s="14">
        <f t="shared" si="26"/>
        <v>-50</v>
      </c>
      <c r="N851" s="14">
        <f t="shared" si="27"/>
        <v>50</v>
      </c>
    </row>
    <row r="852" spans="1:14" ht="12.75" x14ac:dyDescent="0.2">
      <c r="A852" s="1" t="s">
        <v>998</v>
      </c>
      <c r="B852" s="3" t="s">
        <v>999</v>
      </c>
      <c r="C852" s="4">
        <v>43527</v>
      </c>
      <c r="D852" s="2">
        <v>0.54166666666666663</v>
      </c>
      <c r="E852" s="1" t="s">
        <v>125</v>
      </c>
      <c r="F852" s="5">
        <v>1</v>
      </c>
      <c r="G852" s="5">
        <v>0</v>
      </c>
      <c r="H852" s="1">
        <v>1.06</v>
      </c>
      <c r="I852" s="1">
        <v>10.45</v>
      </c>
      <c r="J852" s="1">
        <v>17.399999999999999</v>
      </c>
      <c r="K852" s="6">
        <f>+H852-J852</f>
        <v>-16.34</v>
      </c>
      <c r="L852" s="7" t="str">
        <f>IF(F852-G852&gt;0,"Win","Loss")</f>
        <v>Win</v>
      </c>
      <c r="M852" s="14">
        <f t="shared" si="26"/>
        <v>3</v>
      </c>
      <c r="N852" s="14">
        <f t="shared" si="27"/>
        <v>50</v>
      </c>
    </row>
    <row r="853" spans="1:14" ht="12.75" x14ac:dyDescent="0.2">
      <c r="A853" s="1" t="s">
        <v>998</v>
      </c>
      <c r="B853" s="3" t="s">
        <v>999</v>
      </c>
      <c r="C853" s="4">
        <v>43527</v>
      </c>
      <c r="D853" s="2">
        <v>0.45833333333333331</v>
      </c>
      <c r="E853" s="1" t="s">
        <v>126</v>
      </c>
      <c r="F853" s="5">
        <v>5</v>
      </c>
      <c r="G853" s="5">
        <v>0</v>
      </c>
      <c r="H853" s="1">
        <v>1.51</v>
      </c>
      <c r="I853" s="1">
        <v>4.28</v>
      </c>
      <c r="J853" s="1">
        <v>4.74</v>
      </c>
      <c r="K853" s="6">
        <f>+H853-J853</f>
        <v>-3.2300000000000004</v>
      </c>
      <c r="L853" s="7" t="str">
        <f>IF(F853-G853&gt;0,"Win","Loss")</f>
        <v>Win</v>
      </c>
      <c r="M853" s="14">
        <f t="shared" si="26"/>
        <v>25.5</v>
      </c>
      <c r="N853" s="14">
        <f t="shared" si="27"/>
        <v>50</v>
      </c>
    </row>
    <row r="854" spans="1:14" ht="12.75" x14ac:dyDescent="0.2">
      <c r="A854" s="1" t="s">
        <v>1000</v>
      </c>
      <c r="B854" s="3" t="s">
        <v>1001</v>
      </c>
      <c r="C854" s="4">
        <v>43527</v>
      </c>
      <c r="D854" s="2">
        <v>0.91666666666666663</v>
      </c>
      <c r="E854" s="1" t="s">
        <v>162</v>
      </c>
      <c r="F854" s="5">
        <v>0</v>
      </c>
      <c r="G854" s="5">
        <v>0</v>
      </c>
      <c r="H854" s="1">
        <v>2</v>
      </c>
      <c r="I854" s="1">
        <v>2.91</v>
      </c>
      <c r="J854" s="1">
        <v>4.2</v>
      </c>
      <c r="K854" s="6">
        <f>+H854-J854</f>
        <v>-2.2000000000000002</v>
      </c>
      <c r="L854" s="7" t="str">
        <f>IF(F854-G854&gt;0,"Win","Loss")</f>
        <v>Loss</v>
      </c>
      <c r="M854" s="14">
        <f t="shared" si="26"/>
        <v>-50</v>
      </c>
      <c r="N854" s="14">
        <f t="shared" si="27"/>
        <v>50</v>
      </c>
    </row>
    <row r="855" spans="1:14" ht="12.75" x14ac:dyDescent="0.2">
      <c r="A855" s="1" t="s">
        <v>1000</v>
      </c>
      <c r="B855" s="3" t="s">
        <v>1001</v>
      </c>
      <c r="C855" s="4">
        <v>43527</v>
      </c>
      <c r="D855" s="2">
        <v>0.875</v>
      </c>
      <c r="E855" s="1" t="s">
        <v>163</v>
      </c>
      <c r="F855" s="5">
        <v>2</v>
      </c>
      <c r="G855" s="5">
        <v>0</v>
      </c>
      <c r="H855" s="1">
        <v>2.65</v>
      </c>
      <c r="I855" s="1">
        <v>2.9</v>
      </c>
      <c r="J855" s="1">
        <v>2.76</v>
      </c>
      <c r="K855" s="6">
        <f>+H855-J855</f>
        <v>-0.10999999999999988</v>
      </c>
      <c r="L855" s="7" t="str">
        <f>IF(F855-G855&gt;0,"Win","Loss")</f>
        <v>Win</v>
      </c>
      <c r="M855" s="14">
        <f t="shared" si="26"/>
        <v>82.5</v>
      </c>
      <c r="N855" s="14">
        <f t="shared" si="27"/>
        <v>50</v>
      </c>
    </row>
    <row r="856" spans="1:14" ht="12.75" x14ac:dyDescent="0.2">
      <c r="A856" s="1" t="s">
        <v>1000</v>
      </c>
      <c r="B856" s="3" t="s">
        <v>1001</v>
      </c>
      <c r="C856" s="4">
        <v>43527</v>
      </c>
      <c r="D856" s="2">
        <v>0.83680555555555547</v>
      </c>
      <c r="E856" s="1" t="s">
        <v>164</v>
      </c>
      <c r="F856" s="5">
        <v>4</v>
      </c>
      <c r="G856" s="5">
        <v>1</v>
      </c>
      <c r="H856" s="1">
        <v>2.06</v>
      </c>
      <c r="I856" s="1">
        <v>2.96</v>
      </c>
      <c r="J856" s="1">
        <v>3.86</v>
      </c>
      <c r="K856" s="6">
        <f>+H856-J856</f>
        <v>-1.7999999999999998</v>
      </c>
      <c r="L856" s="7" t="str">
        <f>IF(F856-G856&gt;0,"Win","Loss")</f>
        <v>Win</v>
      </c>
      <c r="M856" s="14">
        <f t="shared" si="26"/>
        <v>53</v>
      </c>
      <c r="N856" s="14">
        <f t="shared" si="27"/>
        <v>50</v>
      </c>
    </row>
    <row r="857" spans="1:14" ht="12.75" x14ac:dyDescent="0.2">
      <c r="A857" s="1" t="s">
        <v>1000</v>
      </c>
      <c r="B857" s="3" t="s">
        <v>1001</v>
      </c>
      <c r="C857" s="4">
        <v>43527</v>
      </c>
      <c r="D857" s="2">
        <v>0.83333333333333337</v>
      </c>
      <c r="E857" s="1" t="s">
        <v>165</v>
      </c>
      <c r="F857" s="5">
        <v>1</v>
      </c>
      <c r="G857" s="5">
        <v>0</v>
      </c>
      <c r="H857" s="1">
        <v>2.7</v>
      </c>
      <c r="I857" s="1">
        <v>2.74</v>
      </c>
      <c r="J857" s="1">
        <v>2.87</v>
      </c>
      <c r="K857" s="6">
        <f>+H857-J857</f>
        <v>-0.16999999999999993</v>
      </c>
      <c r="L857" s="7" t="str">
        <f>IF(F857-G857&gt;0,"Win","Loss")</f>
        <v>Win</v>
      </c>
      <c r="M857" s="14">
        <f t="shared" si="26"/>
        <v>85</v>
      </c>
      <c r="N857" s="14">
        <f t="shared" si="27"/>
        <v>50</v>
      </c>
    </row>
    <row r="858" spans="1:14" ht="12.75" x14ac:dyDescent="0.2">
      <c r="A858" s="1" t="s">
        <v>1000</v>
      </c>
      <c r="B858" s="3" t="s">
        <v>1001</v>
      </c>
      <c r="C858" s="4">
        <v>43527</v>
      </c>
      <c r="D858" s="2">
        <v>0.83333333333333337</v>
      </c>
      <c r="E858" s="1" t="s">
        <v>166</v>
      </c>
      <c r="F858" s="5">
        <v>3</v>
      </c>
      <c r="G858" s="5">
        <v>1</v>
      </c>
      <c r="H858" s="1">
        <v>1.78</v>
      </c>
      <c r="I858" s="1">
        <v>3.13</v>
      </c>
      <c r="J858" s="1">
        <v>4.9000000000000004</v>
      </c>
      <c r="K858" s="6">
        <f>+H858-J858</f>
        <v>-3.12</v>
      </c>
      <c r="L858" s="7" t="str">
        <f>IF(F858-G858&gt;0,"Win","Loss")</f>
        <v>Win</v>
      </c>
      <c r="M858" s="14">
        <f t="shared" si="26"/>
        <v>39</v>
      </c>
      <c r="N858" s="14">
        <f t="shared" si="27"/>
        <v>50</v>
      </c>
    </row>
    <row r="859" spans="1:14" ht="12.75" x14ac:dyDescent="0.2">
      <c r="A859" s="1" t="s">
        <v>1014</v>
      </c>
      <c r="B859" s="3" t="s">
        <v>1015</v>
      </c>
      <c r="C859" s="4">
        <v>43527</v>
      </c>
      <c r="D859" s="2">
        <v>0.66666666666666663</v>
      </c>
      <c r="E859" s="1" t="s">
        <v>547</v>
      </c>
      <c r="F859" s="5">
        <v>2</v>
      </c>
      <c r="G859" s="5">
        <v>1</v>
      </c>
      <c r="H859" s="1">
        <v>2.83</v>
      </c>
      <c r="I859" s="1">
        <v>3.3</v>
      </c>
      <c r="J859" s="1">
        <v>2.36</v>
      </c>
      <c r="K859" s="6">
        <f>+H859-J859</f>
        <v>0.4700000000000002</v>
      </c>
      <c r="L859" s="7" t="str">
        <f>IF(F859-G859&gt;0,"Win","Loss")</f>
        <v>Win</v>
      </c>
      <c r="M859" s="14">
        <f t="shared" si="26"/>
        <v>91.5</v>
      </c>
      <c r="N859" s="14">
        <f t="shared" si="27"/>
        <v>50</v>
      </c>
    </row>
    <row r="860" spans="1:14" ht="12.75" x14ac:dyDescent="0.2">
      <c r="A860" s="1" t="s">
        <v>1014</v>
      </c>
      <c r="B860" s="3" t="s">
        <v>1015</v>
      </c>
      <c r="C860" s="4">
        <v>43527</v>
      </c>
      <c r="D860" s="2">
        <v>0.58333333333333337</v>
      </c>
      <c r="E860" s="1" t="s">
        <v>548</v>
      </c>
      <c r="F860" s="5">
        <v>0</v>
      </c>
      <c r="G860" s="5">
        <v>3</v>
      </c>
      <c r="H860" s="1">
        <v>1.82</v>
      </c>
      <c r="I860" s="1">
        <v>3.6</v>
      </c>
      <c r="J860" s="1">
        <v>3.96</v>
      </c>
      <c r="K860" s="6">
        <f>+H860-J860</f>
        <v>-2.1399999999999997</v>
      </c>
      <c r="L860" s="7" t="str">
        <f>IF(F860-G860&gt;0,"Win","Loss")</f>
        <v>Loss</v>
      </c>
      <c r="M860" s="14">
        <f t="shared" si="26"/>
        <v>-50</v>
      </c>
      <c r="N860" s="14">
        <f t="shared" si="27"/>
        <v>50</v>
      </c>
    </row>
    <row r="861" spans="1:14" ht="12.75" x14ac:dyDescent="0.2">
      <c r="A861" s="1" t="s">
        <v>1002</v>
      </c>
      <c r="B861" s="3" t="s">
        <v>1003</v>
      </c>
      <c r="C861" s="4">
        <v>43528</v>
      </c>
      <c r="D861" s="2">
        <v>0.73263888888888884</v>
      </c>
      <c r="E861" s="1" t="s">
        <v>266</v>
      </c>
      <c r="F861" s="5">
        <v>5</v>
      </c>
      <c r="G861" s="5">
        <v>1</v>
      </c>
      <c r="H861" s="1">
        <v>2.42</v>
      </c>
      <c r="I861" s="1">
        <v>3.29</v>
      </c>
      <c r="J861" s="1">
        <v>2.86</v>
      </c>
      <c r="K861" s="6">
        <f>+H861-J861</f>
        <v>-0.43999999999999995</v>
      </c>
      <c r="L861" s="7" t="str">
        <f>IF(F861-G861&gt;0,"Win","Loss")</f>
        <v>Win</v>
      </c>
      <c r="M861" s="14">
        <f t="shared" si="26"/>
        <v>71</v>
      </c>
      <c r="N861" s="14">
        <f t="shared" si="27"/>
        <v>50</v>
      </c>
    </row>
    <row r="862" spans="1:14" ht="12.75" x14ac:dyDescent="0.2">
      <c r="A862" s="1" t="s">
        <v>1002</v>
      </c>
      <c r="B862" s="3" t="s">
        <v>1003</v>
      </c>
      <c r="C862" s="4">
        <v>43528</v>
      </c>
      <c r="D862" s="2">
        <v>0.64583333333333337</v>
      </c>
      <c r="E862" s="1" t="s">
        <v>267</v>
      </c>
      <c r="F862" s="5">
        <v>0</v>
      </c>
      <c r="G862" s="5">
        <v>0</v>
      </c>
      <c r="H862" s="1">
        <v>1.61</v>
      </c>
      <c r="I862" s="1">
        <v>3.47</v>
      </c>
      <c r="J862" s="1">
        <v>6.34</v>
      </c>
      <c r="K862" s="6">
        <f>+H862-J862</f>
        <v>-4.7299999999999995</v>
      </c>
      <c r="L862" s="7" t="str">
        <f>IF(F862-G862&gt;0,"Win","Loss")</f>
        <v>Loss</v>
      </c>
      <c r="M862" s="14">
        <f t="shared" si="26"/>
        <v>-50</v>
      </c>
      <c r="N862" s="14">
        <f t="shared" si="27"/>
        <v>50</v>
      </c>
    </row>
    <row r="863" spans="1:14" ht="12.75" x14ac:dyDescent="0.2">
      <c r="A863" s="1" t="s">
        <v>1002</v>
      </c>
      <c r="B863" s="3" t="s">
        <v>1003</v>
      </c>
      <c r="C863" s="4">
        <v>43528</v>
      </c>
      <c r="D863" s="2">
        <v>0.63888888888888895</v>
      </c>
      <c r="E863" s="1" t="s">
        <v>268</v>
      </c>
      <c r="F863" s="5">
        <v>1</v>
      </c>
      <c r="G863" s="5">
        <v>0</v>
      </c>
      <c r="H863" s="1">
        <v>3.46</v>
      </c>
      <c r="I863" s="1">
        <v>3.55</v>
      </c>
      <c r="J863" s="1">
        <v>2.0099999999999998</v>
      </c>
      <c r="K863" s="6">
        <f>+H863-J863</f>
        <v>1.4500000000000002</v>
      </c>
      <c r="L863" s="7" t="str">
        <f>IF(F863-G863&gt;0,"Win","Loss")</f>
        <v>Win</v>
      </c>
      <c r="M863" s="14">
        <f t="shared" si="26"/>
        <v>123</v>
      </c>
      <c r="N863" s="14">
        <f t="shared" si="27"/>
        <v>50</v>
      </c>
    </row>
    <row r="864" spans="1:14" ht="12.75" x14ac:dyDescent="0.2">
      <c r="A864" s="1" t="s">
        <v>1002</v>
      </c>
      <c r="B864" s="3" t="s">
        <v>1003</v>
      </c>
      <c r="C864" s="4">
        <v>43528</v>
      </c>
      <c r="D864" s="2">
        <v>0.45833333333333331</v>
      </c>
      <c r="E864" s="1" t="s">
        <v>269</v>
      </c>
      <c r="F864" s="5">
        <v>2</v>
      </c>
      <c r="G864" s="5">
        <v>0</v>
      </c>
      <c r="H864" s="1">
        <v>1.66</v>
      </c>
      <c r="I864" s="1">
        <v>3.89</v>
      </c>
      <c r="J864" s="1">
        <v>4.8600000000000003</v>
      </c>
      <c r="K864" s="6">
        <f>+H864-J864</f>
        <v>-3.2</v>
      </c>
      <c r="L864" s="7" t="str">
        <f>IF(F864-G864&gt;0,"Win","Loss")</f>
        <v>Win</v>
      </c>
      <c r="M864" s="14">
        <f t="shared" si="26"/>
        <v>33</v>
      </c>
      <c r="N864" s="14">
        <f t="shared" si="27"/>
        <v>50</v>
      </c>
    </row>
    <row r="865" spans="1:14" ht="12.75" x14ac:dyDescent="0.2">
      <c r="A865" s="1" t="s">
        <v>1014</v>
      </c>
      <c r="B865" s="3" t="s">
        <v>1015</v>
      </c>
      <c r="C865" s="4">
        <v>43528</v>
      </c>
      <c r="D865" s="2">
        <v>0.70833333333333337</v>
      </c>
      <c r="E865" s="1" t="s">
        <v>546</v>
      </c>
      <c r="F865" s="5">
        <v>1</v>
      </c>
      <c r="G865" s="5">
        <v>0</v>
      </c>
      <c r="H865" s="1">
        <v>2.0099999999999998</v>
      </c>
      <c r="I865" s="1">
        <v>3.34</v>
      </c>
      <c r="J865" s="1">
        <v>3.54</v>
      </c>
      <c r="K865" s="6">
        <f>+H865-J865</f>
        <v>-1.5300000000000002</v>
      </c>
      <c r="L865" s="7" t="str">
        <f>IF(F865-G865&gt;0,"Win","Loss")</f>
        <v>Win</v>
      </c>
      <c r="M865" s="14">
        <f t="shared" si="26"/>
        <v>50.499999999999986</v>
      </c>
      <c r="N865" s="14">
        <f t="shared" si="27"/>
        <v>50</v>
      </c>
    </row>
    <row r="866" spans="1:14" ht="12.75" x14ac:dyDescent="0.2">
      <c r="A866" s="1" t="s">
        <v>1020</v>
      </c>
      <c r="B866" s="3" t="s">
        <v>1021</v>
      </c>
      <c r="C866" s="4">
        <v>43528</v>
      </c>
      <c r="D866" s="2">
        <v>0.51041666666666663</v>
      </c>
      <c r="E866" s="1" t="s">
        <v>691</v>
      </c>
      <c r="F866" s="5">
        <v>7</v>
      </c>
      <c r="G866" s="5">
        <v>0</v>
      </c>
      <c r="H866" s="1">
        <v>1.42</v>
      </c>
      <c r="I866" s="1">
        <v>4.5999999999999996</v>
      </c>
      <c r="J866" s="1">
        <v>5.63</v>
      </c>
      <c r="K866" s="6">
        <f>+H866-J866</f>
        <v>-4.21</v>
      </c>
      <c r="L866" s="7" t="str">
        <f>IF(F866-G866&gt;0,"Win","Loss")</f>
        <v>Win</v>
      </c>
      <c r="M866" s="14">
        <f t="shared" si="26"/>
        <v>21</v>
      </c>
      <c r="N866" s="14">
        <f t="shared" si="27"/>
        <v>50</v>
      </c>
    </row>
    <row r="867" spans="1:14" ht="12.75" x14ac:dyDescent="0.2">
      <c r="A867" s="1" t="s">
        <v>1000</v>
      </c>
      <c r="B867" s="3" t="s">
        <v>1001</v>
      </c>
      <c r="C867" s="4">
        <v>43529</v>
      </c>
      <c r="D867" s="2">
        <v>3.472222222222222E-3</v>
      </c>
      <c r="E867" s="1" t="s">
        <v>161</v>
      </c>
      <c r="F867" s="5">
        <v>1</v>
      </c>
      <c r="G867" s="5">
        <v>1</v>
      </c>
      <c r="H867" s="1">
        <v>1.73</v>
      </c>
      <c r="I867" s="1">
        <v>3.14</v>
      </c>
      <c r="J867" s="1">
        <v>5.14</v>
      </c>
      <c r="K867" s="6">
        <f>+H867-J867</f>
        <v>-3.4099999999999997</v>
      </c>
      <c r="L867" s="7" t="str">
        <f>IF(F867-G867&gt;0,"Win","Loss")</f>
        <v>Loss</v>
      </c>
      <c r="M867" s="14">
        <f t="shared" si="26"/>
        <v>-50</v>
      </c>
      <c r="N867" s="14">
        <f t="shared" si="27"/>
        <v>50</v>
      </c>
    </row>
    <row r="868" spans="1:14" ht="12.75" x14ac:dyDescent="0.2">
      <c r="A868" s="1" t="s">
        <v>1002</v>
      </c>
      <c r="B868" s="3" t="s">
        <v>1003</v>
      </c>
      <c r="C868" s="4">
        <v>43529</v>
      </c>
      <c r="D868" s="2">
        <v>0.71875</v>
      </c>
      <c r="E868" s="1" t="s">
        <v>258</v>
      </c>
      <c r="F868" s="5">
        <v>2</v>
      </c>
      <c r="G868" s="5">
        <v>0</v>
      </c>
      <c r="H868" s="1">
        <v>3.14</v>
      </c>
      <c r="I868" s="1">
        <v>3.54</v>
      </c>
      <c r="J868" s="1">
        <v>2.12</v>
      </c>
      <c r="K868" s="6">
        <f>+H868-J868</f>
        <v>1.02</v>
      </c>
      <c r="L868" s="7" t="str">
        <f>IF(F868-G868&gt;0,"Win","Loss")</f>
        <v>Win</v>
      </c>
      <c r="M868" s="14">
        <f t="shared" si="26"/>
        <v>107</v>
      </c>
      <c r="N868" s="14">
        <f t="shared" si="27"/>
        <v>50</v>
      </c>
    </row>
    <row r="869" spans="1:14" ht="12.75" x14ac:dyDescent="0.2">
      <c r="A869" s="1" t="s">
        <v>1002</v>
      </c>
      <c r="B869" s="3" t="s">
        <v>1003</v>
      </c>
      <c r="C869" s="4">
        <v>43529</v>
      </c>
      <c r="D869" s="2">
        <v>0.63888888888888895</v>
      </c>
      <c r="E869" s="1" t="s">
        <v>259</v>
      </c>
      <c r="F869" s="5">
        <v>0</v>
      </c>
      <c r="G869" s="5">
        <v>1</v>
      </c>
      <c r="H869" s="1">
        <v>3.39</v>
      </c>
      <c r="I869" s="1">
        <v>3.4</v>
      </c>
      <c r="J869" s="1">
        <v>2.08</v>
      </c>
      <c r="K869" s="6">
        <f>+H869-J869</f>
        <v>1.31</v>
      </c>
      <c r="L869" s="7" t="str">
        <f>IF(F869-G869&gt;0,"Win","Loss")</f>
        <v>Loss</v>
      </c>
      <c r="M869" s="14">
        <f t="shared" si="26"/>
        <v>-50</v>
      </c>
      <c r="N869" s="14">
        <f t="shared" si="27"/>
        <v>50</v>
      </c>
    </row>
    <row r="870" spans="1:14" ht="12.75" x14ac:dyDescent="0.2">
      <c r="A870" s="1" t="s">
        <v>1002</v>
      </c>
      <c r="B870" s="3" t="s">
        <v>1003</v>
      </c>
      <c r="C870" s="4">
        <v>43529</v>
      </c>
      <c r="D870" s="2">
        <v>0.63541666666666663</v>
      </c>
      <c r="E870" s="1" t="s">
        <v>260</v>
      </c>
      <c r="F870" s="5">
        <v>3</v>
      </c>
      <c r="G870" s="5">
        <v>0</v>
      </c>
      <c r="H870" s="1">
        <v>1.73</v>
      </c>
      <c r="I870" s="1">
        <v>3.67</v>
      </c>
      <c r="J870" s="1">
        <v>4.54</v>
      </c>
      <c r="K870" s="6">
        <f>+H870-J870</f>
        <v>-2.81</v>
      </c>
      <c r="L870" s="7" t="str">
        <f>IF(F870-G870&gt;0,"Win","Loss")</f>
        <v>Win</v>
      </c>
      <c r="M870" s="14">
        <f t="shared" si="26"/>
        <v>36.5</v>
      </c>
      <c r="N870" s="14">
        <f t="shared" si="27"/>
        <v>50</v>
      </c>
    </row>
    <row r="871" spans="1:14" ht="12.75" x14ac:dyDescent="0.2">
      <c r="A871" s="1" t="s">
        <v>1002</v>
      </c>
      <c r="B871" s="3" t="s">
        <v>1003</v>
      </c>
      <c r="C871" s="4">
        <v>43529</v>
      </c>
      <c r="D871" s="2">
        <v>0.625</v>
      </c>
      <c r="E871" s="1" t="s">
        <v>261</v>
      </c>
      <c r="F871" s="5">
        <v>1</v>
      </c>
      <c r="G871" s="5">
        <v>1</v>
      </c>
      <c r="H871" s="1">
        <v>2.06</v>
      </c>
      <c r="I871" s="1">
        <v>2.89</v>
      </c>
      <c r="J871" s="1">
        <v>4.1900000000000004</v>
      </c>
      <c r="K871" s="6">
        <f>+H871-J871</f>
        <v>-2.1300000000000003</v>
      </c>
      <c r="L871" s="7" t="str">
        <f>IF(F871-G871&gt;0,"Win","Loss")</f>
        <v>Loss</v>
      </c>
      <c r="M871" s="14">
        <f t="shared" si="26"/>
        <v>-50</v>
      </c>
      <c r="N871" s="14">
        <f t="shared" si="27"/>
        <v>50</v>
      </c>
    </row>
    <row r="872" spans="1:14" ht="12.75" x14ac:dyDescent="0.2">
      <c r="A872" s="1" t="s">
        <v>1002</v>
      </c>
      <c r="B872" s="3" t="s">
        <v>1003</v>
      </c>
      <c r="C872" s="4">
        <v>43529</v>
      </c>
      <c r="D872" s="2">
        <v>0.5</v>
      </c>
      <c r="E872" s="1" t="s">
        <v>262</v>
      </c>
      <c r="F872" s="5">
        <v>2</v>
      </c>
      <c r="G872" s="5">
        <v>0</v>
      </c>
      <c r="H872" s="1">
        <v>1.32</v>
      </c>
      <c r="I872" s="1">
        <v>5.22</v>
      </c>
      <c r="J872" s="1">
        <v>8.5</v>
      </c>
      <c r="K872" s="6">
        <f>+H872-J872</f>
        <v>-7.18</v>
      </c>
      <c r="L872" s="7" t="str">
        <f>IF(F872-G872&gt;0,"Win","Loss")</f>
        <v>Win</v>
      </c>
      <c r="M872" s="14">
        <f t="shared" si="26"/>
        <v>16</v>
      </c>
      <c r="N872" s="14">
        <f t="shared" si="27"/>
        <v>50</v>
      </c>
    </row>
    <row r="873" spans="1:14" ht="12.75" x14ac:dyDescent="0.2">
      <c r="A873" s="1" t="s">
        <v>1002</v>
      </c>
      <c r="B873" s="3" t="s">
        <v>1003</v>
      </c>
      <c r="C873" s="4">
        <v>43529</v>
      </c>
      <c r="D873" s="2">
        <v>0.4375</v>
      </c>
      <c r="E873" s="1" t="s">
        <v>263</v>
      </c>
      <c r="F873" s="5">
        <v>2</v>
      </c>
      <c r="G873" s="5">
        <v>2</v>
      </c>
      <c r="H873" s="1">
        <v>2.2999999999999998</v>
      </c>
      <c r="I873" s="1">
        <v>3.35</v>
      </c>
      <c r="J873" s="1">
        <v>2.99</v>
      </c>
      <c r="K873" s="6">
        <f>+H873-J873</f>
        <v>-0.69000000000000039</v>
      </c>
      <c r="L873" s="7" t="str">
        <f>IF(F873-G873&gt;0,"Win","Loss")</f>
        <v>Loss</v>
      </c>
      <c r="M873" s="14">
        <f t="shared" si="26"/>
        <v>-50</v>
      </c>
      <c r="N873" s="14">
        <f t="shared" si="27"/>
        <v>50</v>
      </c>
    </row>
    <row r="874" spans="1:14" ht="12.75" x14ac:dyDescent="0.2">
      <c r="A874" s="1" t="s">
        <v>1002</v>
      </c>
      <c r="B874" s="3" t="s">
        <v>1003</v>
      </c>
      <c r="C874" s="4">
        <v>43529</v>
      </c>
      <c r="D874" s="2">
        <v>0.41666666666666669</v>
      </c>
      <c r="E874" s="1" t="s">
        <v>264</v>
      </c>
      <c r="F874" s="5">
        <v>2</v>
      </c>
      <c r="G874" s="5">
        <v>1</v>
      </c>
      <c r="H874" s="1">
        <v>1.19</v>
      </c>
      <c r="I874" s="1">
        <v>6.5</v>
      </c>
      <c r="J874" s="1">
        <v>13.39</v>
      </c>
      <c r="K874" s="6">
        <f>+H874-J874</f>
        <v>-12.200000000000001</v>
      </c>
      <c r="L874" s="7" t="str">
        <f>IF(F874-G874&gt;0,"Win","Loss")</f>
        <v>Win</v>
      </c>
      <c r="M874" s="14">
        <f t="shared" si="26"/>
        <v>9.5</v>
      </c>
      <c r="N874" s="14">
        <f t="shared" si="27"/>
        <v>50</v>
      </c>
    </row>
    <row r="875" spans="1:14" ht="12.75" x14ac:dyDescent="0.2">
      <c r="A875" s="1" t="s">
        <v>1002</v>
      </c>
      <c r="B875" s="3" t="s">
        <v>1003</v>
      </c>
      <c r="C875" s="4">
        <v>43529</v>
      </c>
      <c r="D875" s="2">
        <v>0.35416666666666669</v>
      </c>
      <c r="E875" s="1" t="s">
        <v>265</v>
      </c>
      <c r="F875" s="5">
        <v>1</v>
      </c>
      <c r="G875" s="5">
        <v>3</v>
      </c>
      <c r="H875" s="1">
        <v>2.57</v>
      </c>
      <c r="I875" s="1">
        <v>3.38</v>
      </c>
      <c r="J875" s="1">
        <v>2.62</v>
      </c>
      <c r="K875" s="6">
        <f>+H875-J875</f>
        <v>-5.0000000000000266E-2</v>
      </c>
      <c r="L875" s="7" t="str">
        <f>IF(F875-G875&gt;0,"Win","Loss")</f>
        <v>Loss</v>
      </c>
      <c r="M875" s="14">
        <f t="shared" si="26"/>
        <v>-50</v>
      </c>
      <c r="N875" s="14">
        <f t="shared" si="27"/>
        <v>50</v>
      </c>
    </row>
    <row r="876" spans="1:14" ht="12.75" x14ac:dyDescent="0.2">
      <c r="A876" s="1" t="s">
        <v>1026</v>
      </c>
      <c r="B876" s="3" t="s">
        <v>1028</v>
      </c>
      <c r="C876" s="4">
        <v>43529</v>
      </c>
      <c r="D876" s="2">
        <v>0.82291666666666663</v>
      </c>
      <c r="E876" s="1" t="s">
        <v>876</v>
      </c>
      <c r="F876" s="5">
        <v>0</v>
      </c>
      <c r="G876" s="5">
        <v>2</v>
      </c>
      <c r="H876" s="1">
        <v>3.33</v>
      </c>
      <c r="I876" s="1">
        <v>3.24</v>
      </c>
      <c r="J876" s="1">
        <v>2.1800000000000002</v>
      </c>
      <c r="K876" s="6">
        <f>+H876-J876</f>
        <v>1.1499999999999999</v>
      </c>
      <c r="L876" s="7" t="str">
        <f>IF(F876-G876&gt;0,"Win","Loss")</f>
        <v>Loss</v>
      </c>
      <c r="M876" s="14">
        <f t="shared" si="26"/>
        <v>-50</v>
      </c>
      <c r="N876" s="14">
        <f t="shared" si="27"/>
        <v>50</v>
      </c>
    </row>
    <row r="877" spans="1:14" ht="12.75" x14ac:dyDescent="0.2">
      <c r="A877" s="1" t="s">
        <v>1002</v>
      </c>
      <c r="B877" s="3" t="s">
        <v>1003</v>
      </c>
      <c r="C877" s="4">
        <v>43530</v>
      </c>
      <c r="D877" s="2">
        <v>0.47916666666666669</v>
      </c>
      <c r="E877" s="1" t="s">
        <v>254</v>
      </c>
      <c r="F877" s="5">
        <v>1</v>
      </c>
      <c r="G877" s="5">
        <v>0</v>
      </c>
      <c r="H877" s="1">
        <v>2.42</v>
      </c>
      <c r="I877" s="1">
        <v>3.42</v>
      </c>
      <c r="J877" s="1">
        <v>2.7</v>
      </c>
      <c r="K877" s="6">
        <f>+H877-J877</f>
        <v>-0.28000000000000025</v>
      </c>
      <c r="L877" s="7" t="str">
        <f>IF(F877-G877&gt;0,"Win","Loss")</f>
        <v>Win</v>
      </c>
      <c r="M877" s="14">
        <f t="shared" si="26"/>
        <v>71</v>
      </c>
      <c r="N877" s="14">
        <f t="shared" si="27"/>
        <v>50</v>
      </c>
    </row>
    <row r="878" spans="1:14" ht="12.75" x14ac:dyDescent="0.2">
      <c r="A878" s="1" t="s">
        <v>1002</v>
      </c>
      <c r="B878" s="3" t="s">
        <v>1003</v>
      </c>
      <c r="C878" s="4">
        <v>43530</v>
      </c>
      <c r="D878" s="2">
        <v>0.4375</v>
      </c>
      <c r="E878" s="1" t="s">
        <v>255</v>
      </c>
      <c r="F878" s="5">
        <v>3</v>
      </c>
      <c r="G878" s="5">
        <v>0</v>
      </c>
      <c r="H878" s="1">
        <v>1.45</v>
      </c>
      <c r="I878" s="1">
        <v>4.1100000000000003</v>
      </c>
      <c r="J878" s="1">
        <v>7.23</v>
      </c>
      <c r="K878" s="6">
        <f>+H878-J878</f>
        <v>-5.78</v>
      </c>
      <c r="L878" s="7" t="str">
        <f>IF(F878-G878&gt;0,"Win","Loss")</f>
        <v>Win</v>
      </c>
      <c r="M878" s="14">
        <f t="shared" si="26"/>
        <v>22.5</v>
      </c>
      <c r="N878" s="14">
        <f t="shared" si="27"/>
        <v>50</v>
      </c>
    </row>
    <row r="879" spans="1:14" ht="12.75" x14ac:dyDescent="0.2">
      <c r="A879" s="1" t="s">
        <v>1002</v>
      </c>
      <c r="B879" s="3" t="s">
        <v>1003</v>
      </c>
      <c r="C879" s="4">
        <v>43530</v>
      </c>
      <c r="D879" s="2">
        <v>0.41666666666666669</v>
      </c>
      <c r="E879" s="1" t="s">
        <v>256</v>
      </c>
      <c r="F879" s="5">
        <v>3</v>
      </c>
      <c r="G879" s="5">
        <v>1</v>
      </c>
      <c r="H879" s="1">
        <v>1.8</v>
      </c>
      <c r="I879" s="1">
        <v>3.7</v>
      </c>
      <c r="J879" s="1">
        <v>4.12</v>
      </c>
      <c r="K879" s="6">
        <f>+H879-J879</f>
        <v>-2.3200000000000003</v>
      </c>
      <c r="L879" s="7" t="str">
        <f>IF(F879-G879&gt;0,"Win","Loss")</f>
        <v>Win</v>
      </c>
      <c r="M879" s="14">
        <f t="shared" si="26"/>
        <v>40</v>
      </c>
      <c r="N879" s="14">
        <f t="shared" si="27"/>
        <v>50</v>
      </c>
    </row>
    <row r="880" spans="1:14" ht="12.75" x14ac:dyDescent="0.2">
      <c r="A880" s="1" t="s">
        <v>1002</v>
      </c>
      <c r="B880" s="3" t="s">
        <v>1003</v>
      </c>
      <c r="C880" s="4">
        <v>43530</v>
      </c>
      <c r="D880" s="2">
        <v>0.375</v>
      </c>
      <c r="E880" s="1" t="s">
        <v>257</v>
      </c>
      <c r="F880" s="5">
        <v>0</v>
      </c>
      <c r="G880" s="5">
        <v>0</v>
      </c>
      <c r="H880" s="1">
        <v>2.75</v>
      </c>
      <c r="I880" s="1">
        <v>3.28</v>
      </c>
      <c r="J880" s="1">
        <v>2.5</v>
      </c>
      <c r="K880" s="6">
        <f>+H880-J880</f>
        <v>0.25</v>
      </c>
      <c r="L880" s="7" t="str">
        <f>IF(F880-G880&gt;0,"Win","Loss")</f>
        <v>Loss</v>
      </c>
      <c r="M880" s="14">
        <f t="shared" si="26"/>
        <v>-50</v>
      </c>
      <c r="N880" s="14">
        <f t="shared" si="27"/>
        <v>50</v>
      </c>
    </row>
    <row r="881" spans="1:14" ht="12.75" x14ac:dyDescent="0.2">
      <c r="A881" s="1" t="s">
        <v>1012</v>
      </c>
      <c r="B881" s="3" t="s">
        <v>1013</v>
      </c>
      <c r="C881" s="4">
        <v>43530</v>
      </c>
      <c r="D881" s="2">
        <v>0.92708333333333337</v>
      </c>
      <c r="E881" s="1" t="s">
        <v>504</v>
      </c>
      <c r="F881" s="5">
        <v>1</v>
      </c>
      <c r="G881" s="5">
        <v>1</v>
      </c>
      <c r="H881" s="1">
        <v>1.54</v>
      </c>
      <c r="I881" s="1">
        <v>4.17</v>
      </c>
      <c r="J881" s="1">
        <v>5.03</v>
      </c>
      <c r="K881" s="6">
        <f>+H881-J881</f>
        <v>-3.49</v>
      </c>
      <c r="L881" s="7" t="str">
        <f>IF(F881-G881&gt;0,"Win","Loss")</f>
        <v>Loss</v>
      </c>
      <c r="M881" s="14">
        <f t="shared" si="26"/>
        <v>-50</v>
      </c>
      <c r="N881" s="14">
        <f t="shared" si="27"/>
        <v>50</v>
      </c>
    </row>
    <row r="882" spans="1:14" ht="12.75" x14ac:dyDescent="0.2">
      <c r="A882" s="1" t="s">
        <v>1012</v>
      </c>
      <c r="B882" s="3" t="s">
        <v>1013</v>
      </c>
      <c r="C882" s="4">
        <v>43531</v>
      </c>
      <c r="D882" s="2">
        <v>2.0833333333333332E-2</v>
      </c>
      <c r="E882" s="1" t="s">
        <v>503</v>
      </c>
      <c r="F882" s="5">
        <v>5</v>
      </c>
      <c r="G882" s="5">
        <v>0</v>
      </c>
      <c r="H882" s="1">
        <v>1.21</v>
      </c>
      <c r="I882" s="1">
        <v>6.22</v>
      </c>
      <c r="J882" s="1">
        <v>10.29</v>
      </c>
      <c r="K882" s="6">
        <f>+H882-J882</f>
        <v>-9.0799999999999983</v>
      </c>
      <c r="L882" s="7" t="str">
        <f>IF(F882-G882&gt;0,"Win","Loss")</f>
        <v>Win</v>
      </c>
      <c r="M882" s="14">
        <f t="shared" si="26"/>
        <v>10.5</v>
      </c>
      <c r="N882" s="14">
        <f t="shared" si="27"/>
        <v>50</v>
      </c>
    </row>
    <row r="883" spans="1:14" ht="12.75" x14ac:dyDescent="0.2">
      <c r="A883" s="1" t="s">
        <v>1020</v>
      </c>
      <c r="B883" s="3" t="s">
        <v>1021</v>
      </c>
      <c r="C883" s="4">
        <v>43532</v>
      </c>
      <c r="D883" s="2">
        <v>0.45833333333333331</v>
      </c>
      <c r="E883" s="1" t="s">
        <v>688</v>
      </c>
      <c r="F883" s="5">
        <v>1</v>
      </c>
      <c r="G883" s="5">
        <v>0</v>
      </c>
      <c r="H883" s="1">
        <v>1.95</v>
      </c>
      <c r="I883" s="1">
        <v>3.5</v>
      </c>
      <c r="J883" s="1">
        <v>3.36</v>
      </c>
      <c r="K883" s="6">
        <f>+H883-J883</f>
        <v>-1.41</v>
      </c>
      <c r="L883" s="7" t="str">
        <f>IF(F883-G883&gt;0,"Win","Loss")</f>
        <v>Win</v>
      </c>
      <c r="M883" s="14">
        <f t="shared" si="26"/>
        <v>47.5</v>
      </c>
      <c r="N883" s="14">
        <f t="shared" si="27"/>
        <v>50</v>
      </c>
    </row>
    <row r="884" spans="1:14" ht="12.75" x14ac:dyDescent="0.2">
      <c r="A884" s="1" t="s">
        <v>1020</v>
      </c>
      <c r="B884" s="3" t="s">
        <v>1021</v>
      </c>
      <c r="C884" s="4">
        <v>43532</v>
      </c>
      <c r="D884" s="2">
        <v>0.45833333333333331</v>
      </c>
      <c r="E884" s="1" t="s">
        <v>689</v>
      </c>
      <c r="F884" s="5">
        <v>1</v>
      </c>
      <c r="G884" s="5">
        <v>2</v>
      </c>
      <c r="H884" s="1">
        <v>1.65</v>
      </c>
      <c r="I884" s="1">
        <v>4.21</v>
      </c>
      <c r="J884" s="1">
        <v>3.97</v>
      </c>
      <c r="K884" s="6">
        <f>+H884-J884</f>
        <v>-2.3200000000000003</v>
      </c>
      <c r="L884" s="7" t="str">
        <f>IF(F884-G884&gt;0,"Win","Loss")</f>
        <v>Loss</v>
      </c>
      <c r="M884" s="14">
        <f t="shared" si="26"/>
        <v>-50</v>
      </c>
      <c r="N884" s="14">
        <f t="shared" si="27"/>
        <v>50</v>
      </c>
    </row>
    <row r="885" spans="1:14" ht="12.75" x14ac:dyDescent="0.2">
      <c r="A885" s="1" t="s">
        <v>1020</v>
      </c>
      <c r="B885" s="3" t="s">
        <v>1021</v>
      </c>
      <c r="C885" s="4">
        <v>43532</v>
      </c>
      <c r="D885" s="2">
        <v>0.41666666666666669</v>
      </c>
      <c r="E885" s="1" t="s">
        <v>690</v>
      </c>
      <c r="F885" s="5">
        <v>3</v>
      </c>
      <c r="G885" s="5">
        <v>2</v>
      </c>
      <c r="H885" s="1">
        <v>1.1100000000000001</v>
      </c>
      <c r="I885" s="1">
        <v>8.4600000000000009</v>
      </c>
      <c r="J885" s="1">
        <v>12.57</v>
      </c>
      <c r="K885" s="6">
        <f>+H885-J885</f>
        <v>-11.46</v>
      </c>
      <c r="L885" s="7" t="str">
        <f>IF(F885-G885&gt;0,"Win","Loss")</f>
        <v>Win</v>
      </c>
      <c r="M885" s="14">
        <f t="shared" si="26"/>
        <v>5.5000000000000071</v>
      </c>
      <c r="N885" s="14">
        <f t="shared" si="27"/>
        <v>50</v>
      </c>
    </row>
    <row r="886" spans="1:14" ht="12.75" x14ac:dyDescent="0.2">
      <c r="A886" s="1" t="s">
        <v>1000</v>
      </c>
      <c r="B886" s="3" t="s">
        <v>1001</v>
      </c>
      <c r="C886" s="4">
        <v>43533</v>
      </c>
      <c r="D886" s="2">
        <v>0.83680555555555547</v>
      </c>
      <c r="E886" s="1" t="s">
        <v>158</v>
      </c>
      <c r="F886" s="5">
        <v>0</v>
      </c>
      <c r="G886" s="5">
        <v>0</v>
      </c>
      <c r="H886" s="1">
        <v>2.13</v>
      </c>
      <c r="I886" s="1">
        <v>2.99</v>
      </c>
      <c r="J886" s="1">
        <v>3.58</v>
      </c>
      <c r="K886" s="6">
        <f>+H886-J886</f>
        <v>-1.4500000000000002</v>
      </c>
      <c r="L886" s="7" t="str">
        <f>IF(F886-G886&gt;0,"Win","Loss")</f>
        <v>Loss</v>
      </c>
      <c r="M886" s="14">
        <f t="shared" si="26"/>
        <v>-50</v>
      </c>
      <c r="N886" s="14">
        <f t="shared" si="27"/>
        <v>50</v>
      </c>
    </row>
    <row r="887" spans="1:14" ht="12.75" x14ac:dyDescent="0.2">
      <c r="A887" s="1" t="s">
        <v>1000</v>
      </c>
      <c r="B887" s="3" t="s">
        <v>1001</v>
      </c>
      <c r="C887" s="4">
        <v>43533</v>
      </c>
      <c r="D887" s="2">
        <v>0.83333333333333337</v>
      </c>
      <c r="E887" s="1" t="s">
        <v>159</v>
      </c>
      <c r="F887" s="5">
        <v>0</v>
      </c>
      <c r="G887" s="5">
        <v>1</v>
      </c>
      <c r="H887" s="1">
        <v>2.17</v>
      </c>
      <c r="I887" s="1">
        <v>2.91</v>
      </c>
      <c r="J887" s="1">
        <v>3.59</v>
      </c>
      <c r="K887" s="6">
        <f>+H887-J887</f>
        <v>-1.42</v>
      </c>
      <c r="L887" s="7" t="str">
        <f>IF(F887-G887&gt;0,"Win","Loss")</f>
        <v>Loss</v>
      </c>
      <c r="M887" s="14">
        <f t="shared" si="26"/>
        <v>-50</v>
      </c>
      <c r="N887" s="14">
        <f t="shared" si="27"/>
        <v>50</v>
      </c>
    </row>
    <row r="888" spans="1:14" ht="12.75" x14ac:dyDescent="0.2">
      <c r="A888" s="1" t="s">
        <v>1000</v>
      </c>
      <c r="B888" s="3" t="s">
        <v>1001</v>
      </c>
      <c r="C888" s="4">
        <v>43533</v>
      </c>
      <c r="D888" s="2">
        <v>0.83333333333333337</v>
      </c>
      <c r="E888" s="1" t="s">
        <v>160</v>
      </c>
      <c r="F888" s="5">
        <v>2</v>
      </c>
      <c r="G888" s="5">
        <v>0</v>
      </c>
      <c r="H888" s="1">
        <v>2.16</v>
      </c>
      <c r="I888" s="1">
        <v>2.87</v>
      </c>
      <c r="J888" s="1">
        <v>3.66</v>
      </c>
      <c r="K888" s="6">
        <f>+H888-J888</f>
        <v>-1.5</v>
      </c>
      <c r="L888" s="7" t="str">
        <f>IF(F888-G888&gt;0,"Win","Loss")</f>
        <v>Win</v>
      </c>
      <c r="M888" s="14">
        <f t="shared" si="26"/>
        <v>58</v>
      </c>
      <c r="N888" s="14">
        <f t="shared" si="27"/>
        <v>50</v>
      </c>
    </row>
    <row r="889" spans="1:14" ht="12.75" x14ac:dyDescent="0.2">
      <c r="A889" s="1" t="s">
        <v>1010</v>
      </c>
      <c r="B889" s="3" t="s">
        <v>1011</v>
      </c>
      <c r="C889" s="4">
        <v>43533</v>
      </c>
      <c r="D889" s="2">
        <v>0.77083333333333337</v>
      </c>
      <c r="E889" s="1" t="s">
        <v>445</v>
      </c>
      <c r="F889" s="5">
        <v>3</v>
      </c>
      <c r="G889" s="5">
        <v>2</v>
      </c>
      <c r="H889" s="1">
        <v>1.3</v>
      </c>
      <c r="I889" s="1">
        <v>4.75</v>
      </c>
      <c r="J889" s="1">
        <v>7</v>
      </c>
      <c r="K889" s="6">
        <f>+H889-J889</f>
        <v>-5.7</v>
      </c>
      <c r="L889" s="7" t="str">
        <f>IF(F889-G889&gt;0,"Win","Loss")</f>
        <v>Win</v>
      </c>
      <c r="M889" s="14">
        <f t="shared" si="26"/>
        <v>15</v>
      </c>
      <c r="N889" s="14">
        <f t="shared" si="27"/>
        <v>50</v>
      </c>
    </row>
    <row r="890" spans="1:14" ht="12.75" x14ac:dyDescent="0.2">
      <c r="A890" s="1" t="s">
        <v>1010</v>
      </c>
      <c r="B890" s="3" t="s">
        <v>1011</v>
      </c>
      <c r="C890" s="4">
        <v>43533</v>
      </c>
      <c r="D890" s="2">
        <v>0.77083333333333337</v>
      </c>
      <c r="E890" s="1" t="s">
        <v>446</v>
      </c>
      <c r="F890" s="5">
        <v>2</v>
      </c>
      <c r="G890" s="5">
        <v>1</v>
      </c>
      <c r="H890" s="1">
        <v>2.2999999999999998</v>
      </c>
      <c r="I890" s="1">
        <v>3.6</v>
      </c>
      <c r="J890" s="1">
        <v>2.4</v>
      </c>
      <c r="K890" s="6">
        <f>+H890-J890</f>
        <v>-0.10000000000000009</v>
      </c>
      <c r="L890" s="7" t="str">
        <f>IF(F890-G890&gt;0,"Win","Loss")</f>
        <v>Win</v>
      </c>
      <c r="M890" s="14">
        <f t="shared" si="26"/>
        <v>64.999999999999986</v>
      </c>
      <c r="N890" s="14">
        <f t="shared" si="27"/>
        <v>50</v>
      </c>
    </row>
    <row r="891" spans="1:14" ht="12.75" x14ac:dyDescent="0.2">
      <c r="A891" s="1" t="s">
        <v>1010</v>
      </c>
      <c r="B891" s="3" t="s">
        <v>1011</v>
      </c>
      <c r="C891" s="4">
        <v>43533</v>
      </c>
      <c r="D891" s="2">
        <v>0.77083333333333337</v>
      </c>
      <c r="E891" s="1" t="s">
        <v>447</v>
      </c>
      <c r="F891" s="5">
        <v>1</v>
      </c>
      <c r="G891" s="5">
        <v>5</v>
      </c>
      <c r="H891" s="1">
        <v>1.8</v>
      </c>
      <c r="I891" s="1">
        <v>3.6</v>
      </c>
      <c r="J891" s="1">
        <v>3.4</v>
      </c>
      <c r="K891" s="6">
        <f>+H891-J891</f>
        <v>-1.5999999999999999</v>
      </c>
      <c r="L891" s="7" t="str">
        <f>IF(F891-G891&gt;0,"Win","Loss")</f>
        <v>Loss</v>
      </c>
      <c r="M891" s="14">
        <f t="shared" si="26"/>
        <v>-50</v>
      </c>
      <c r="N891" s="14">
        <f t="shared" si="27"/>
        <v>50</v>
      </c>
    </row>
    <row r="892" spans="1:14" ht="12.75" x14ac:dyDescent="0.2">
      <c r="A892" s="1" t="s">
        <v>1012</v>
      </c>
      <c r="B892" s="3" t="s">
        <v>1013</v>
      </c>
      <c r="C892" s="4">
        <v>43533</v>
      </c>
      <c r="D892" s="2">
        <v>0.88541666666666663</v>
      </c>
      <c r="E892" s="1" t="s">
        <v>500</v>
      </c>
      <c r="F892" s="5">
        <v>3</v>
      </c>
      <c r="G892" s="5">
        <v>0</v>
      </c>
      <c r="H892" s="1">
        <v>1.2</v>
      </c>
      <c r="I892" s="1">
        <v>6.15</v>
      </c>
      <c r="J892" s="1">
        <v>10.99</v>
      </c>
      <c r="K892" s="6">
        <f>+H892-J892</f>
        <v>-9.7900000000000009</v>
      </c>
      <c r="L892" s="7" t="str">
        <f>IF(F892-G892&gt;0,"Win","Loss")</f>
        <v>Win</v>
      </c>
      <c r="M892" s="14">
        <f t="shared" si="26"/>
        <v>10</v>
      </c>
      <c r="N892" s="14">
        <f t="shared" si="27"/>
        <v>50</v>
      </c>
    </row>
    <row r="893" spans="1:14" ht="12.75" x14ac:dyDescent="0.2">
      <c r="A893" s="1" t="s">
        <v>1012</v>
      </c>
      <c r="B893" s="3" t="s">
        <v>1013</v>
      </c>
      <c r="C893" s="4">
        <v>43533</v>
      </c>
      <c r="D893" s="2">
        <v>0.79166666666666663</v>
      </c>
      <c r="E893" s="1" t="s">
        <v>501</v>
      </c>
      <c r="F893" s="5">
        <v>3</v>
      </c>
      <c r="G893" s="5">
        <v>1</v>
      </c>
      <c r="H893" s="1">
        <v>1.37</v>
      </c>
      <c r="I893" s="1">
        <v>4.99</v>
      </c>
      <c r="J893" s="1">
        <v>6.08</v>
      </c>
      <c r="K893" s="6">
        <f>+H893-J893</f>
        <v>-4.71</v>
      </c>
      <c r="L893" s="7" t="str">
        <f>IF(F893-G893&gt;0,"Win","Loss")</f>
        <v>Win</v>
      </c>
      <c r="M893" s="14">
        <f t="shared" si="26"/>
        <v>18.5</v>
      </c>
      <c r="N893" s="14">
        <f t="shared" si="27"/>
        <v>50</v>
      </c>
    </row>
    <row r="894" spans="1:14" ht="12.75" x14ac:dyDescent="0.2">
      <c r="A894" s="1" t="s">
        <v>1012</v>
      </c>
      <c r="B894" s="3" t="s">
        <v>1013</v>
      </c>
      <c r="C894" s="4">
        <v>43533</v>
      </c>
      <c r="D894" s="2">
        <v>0</v>
      </c>
      <c r="E894" s="1" t="s">
        <v>502</v>
      </c>
      <c r="F894" s="5">
        <v>3</v>
      </c>
      <c r="G894" s="5">
        <v>0</v>
      </c>
      <c r="H894" s="1">
        <v>1.25</v>
      </c>
      <c r="I894" s="1">
        <v>5.77</v>
      </c>
      <c r="J894" s="1">
        <v>8.9</v>
      </c>
      <c r="K894" s="6">
        <f>+H894-J894</f>
        <v>-7.65</v>
      </c>
      <c r="L894" s="7" t="str">
        <f>IF(F894-G894&gt;0,"Win","Loss")</f>
        <v>Win</v>
      </c>
      <c r="M894" s="14">
        <f t="shared" si="26"/>
        <v>12.5</v>
      </c>
      <c r="N894" s="14">
        <f t="shared" si="27"/>
        <v>50</v>
      </c>
    </row>
    <row r="895" spans="1:14" ht="12.75" x14ac:dyDescent="0.2">
      <c r="A895" s="1" t="s">
        <v>1014</v>
      </c>
      <c r="B895" s="3" t="s">
        <v>1015</v>
      </c>
      <c r="C895" s="4">
        <v>43533</v>
      </c>
      <c r="D895" s="2">
        <v>0.70833333333333337</v>
      </c>
      <c r="E895" s="1" t="s">
        <v>543</v>
      </c>
      <c r="F895" s="5">
        <v>0</v>
      </c>
      <c r="G895" s="5">
        <v>0</v>
      </c>
      <c r="H895" s="1">
        <v>2.27</v>
      </c>
      <c r="I895" s="1">
        <v>3.4</v>
      </c>
      <c r="J895" s="1">
        <v>2.88</v>
      </c>
      <c r="K895" s="6">
        <f>+H895-J895</f>
        <v>-0.60999999999999988</v>
      </c>
      <c r="L895" s="7" t="str">
        <f>IF(F895-G895&gt;0,"Win","Loss")</f>
        <v>Loss</v>
      </c>
      <c r="M895" s="14">
        <f t="shared" si="26"/>
        <v>-50</v>
      </c>
      <c r="N895" s="14">
        <f t="shared" si="27"/>
        <v>50</v>
      </c>
    </row>
    <row r="896" spans="1:14" ht="12.75" x14ac:dyDescent="0.2">
      <c r="A896" s="1" t="s">
        <v>1014</v>
      </c>
      <c r="B896" s="3" t="s">
        <v>1015</v>
      </c>
      <c r="C896" s="4">
        <v>43533</v>
      </c>
      <c r="D896" s="2">
        <v>0.66666666666666663</v>
      </c>
      <c r="E896" s="1" t="s">
        <v>544</v>
      </c>
      <c r="F896" s="5">
        <v>0</v>
      </c>
      <c r="G896" s="5">
        <v>0</v>
      </c>
      <c r="H896" s="1">
        <v>1.63</v>
      </c>
      <c r="I896" s="1">
        <v>4.04</v>
      </c>
      <c r="J896" s="1">
        <v>4.55</v>
      </c>
      <c r="K896" s="6">
        <f>+H896-J896</f>
        <v>-2.92</v>
      </c>
      <c r="L896" s="7" t="str">
        <f>IF(F896-G896&gt;0,"Win","Loss")</f>
        <v>Loss</v>
      </c>
      <c r="M896" s="14">
        <f t="shared" si="26"/>
        <v>-50</v>
      </c>
      <c r="N896" s="14">
        <f t="shared" si="27"/>
        <v>50</v>
      </c>
    </row>
    <row r="897" spans="1:14" ht="12.75" x14ac:dyDescent="0.2">
      <c r="A897" s="1" t="s">
        <v>1014</v>
      </c>
      <c r="B897" s="3" t="s">
        <v>1015</v>
      </c>
      <c r="C897" s="4">
        <v>43533</v>
      </c>
      <c r="D897" s="2">
        <v>0.625</v>
      </c>
      <c r="E897" s="1" t="s">
        <v>545</v>
      </c>
      <c r="F897" s="5">
        <v>0</v>
      </c>
      <c r="G897" s="5">
        <v>3</v>
      </c>
      <c r="H897" s="1">
        <v>3.47</v>
      </c>
      <c r="I897" s="1">
        <v>3.39</v>
      </c>
      <c r="J897" s="1">
        <v>2</v>
      </c>
      <c r="K897" s="6">
        <f>+H897-J897</f>
        <v>1.4700000000000002</v>
      </c>
      <c r="L897" s="7" t="str">
        <f>IF(F897-G897&gt;0,"Win","Loss")</f>
        <v>Loss</v>
      </c>
      <c r="M897" s="14">
        <f t="shared" si="26"/>
        <v>-50</v>
      </c>
      <c r="N897" s="14">
        <f t="shared" si="27"/>
        <v>50</v>
      </c>
    </row>
    <row r="898" spans="1:14" ht="12.75" x14ac:dyDescent="0.2">
      <c r="A898" s="1" t="s">
        <v>1020</v>
      </c>
      <c r="B898" s="3" t="s">
        <v>1021</v>
      </c>
      <c r="C898" s="4">
        <v>43533</v>
      </c>
      <c r="D898" s="2">
        <v>0.45833333333333331</v>
      </c>
      <c r="E898" s="1" t="s">
        <v>683</v>
      </c>
      <c r="F898" s="5">
        <v>2</v>
      </c>
      <c r="G898" s="5">
        <v>3</v>
      </c>
      <c r="H898" s="1">
        <v>1.4</v>
      </c>
      <c r="I898" s="1">
        <v>4.92</v>
      </c>
      <c r="J898" s="1">
        <v>5.46</v>
      </c>
      <c r="K898" s="6">
        <f>+H898-J898</f>
        <v>-4.0600000000000005</v>
      </c>
      <c r="L898" s="7" t="str">
        <f>IF(F898-G898&gt;0,"Win","Loss")</f>
        <v>Loss</v>
      </c>
      <c r="M898" s="14">
        <f t="shared" si="26"/>
        <v>-50</v>
      </c>
      <c r="N898" s="14">
        <f t="shared" si="27"/>
        <v>50</v>
      </c>
    </row>
    <row r="899" spans="1:14" ht="12.75" x14ac:dyDescent="0.2">
      <c r="A899" s="1" t="s">
        <v>1020</v>
      </c>
      <c r="B899" s="3" t="s">
        <v>1021</v>
      </c>
      <c r="C899" s="4">
        <v>43533</v>
      </c>
      <c r="D899" s="2">
        <v>0.41666666666666669</v>
      </c>
      <c r="E899" s="1" t="s">
        <v>684</v>
      </c>
      <c r="F899" s="5">
        <v>3</v>
      </c>
      <c r="G899" s="5" t="s">
        <v>980</v>
      </c>
      <c r="H899" s="1">
        <v>1.51</v>
      </c>
      <c r="I899" s="1">
        <v>4.29</v>
      </c>
      <c r="J899" s="1">
        <v>4.71</v>
      </c>
      <c r="K899" s="6">
        <f>+H899-J899</f>
        <v>-3.2</v>
      </c>
      <c r="L899" s="7" t="str">
        <f>IF(F899-G899&gt;0,"Win","Loss")</f>
        <v>Win</v>
      </c>
      <c r="M899" s="14">
        <f t="shared" si="26"/>
        <v>25.5</v>
      </c>
      <c r="N899" s="14">
        <f t="shared" si="27"/>
        <v>50</v>
      </c>
    </row>
    <row r="900" spans="1:14" ht="12.75" x14ac:dyDescent="0.2">
      <c r="A900" s="1" t="s">
        <v>1020</v>
      </c>
      <c r="B900" s="3" t="s">
        <v>1021</v>
      </c>
      <c r="C900" s="4">
        <v>43533</v>
      </c>
      <c r="D900" s="2">
        <v>0.41666666666666669</v>
      </c>
      <c r="E900" s="1" t="s">
        <v>685</v>
      </c>
      <c r="F900" s="5">
        <v>1</v>
      </c>
      <c r="G900" s="5" t="s">
        <v>980</v>
      </c>
      <c r="H900" s="1">
        <v>1.32</v>
      </c>
      <c r="I900" s="1">
        <v>5.31</v>
      </c>
      <c r="J900" s="1">
        <v>6.65</v>
      </c>
      <c r="K900" s="6">
        <f>+H900-J900</f>
        <v>-5.33</v>
      </c>
      <c r="L900" s="7" t="str">
        <f>IF(F900-G900&gt;0,"Win","Loss")</f>
        <v>Loss</v>
      </c>
      <c r="M900" s="14">
        <f t="shared" si="26"/>
        <v>-50</v>
      </c>
      <c r="N900" s="14">
        <f t="shared" si="27"/>
        <v>50</v>
      </c>
    </row>
    <row r="901" spans="1:14" ht="12.75" x14ac:dyDescent="0.2">
      <c r="A901" s="1" t="s">
        <v>1020</v>
      </c>
      <c r="B901" s="3" t="s">
        <v>1021</v>
      </c>
      <c r="C901" s="4">
        <v>43533</v>
      </c>
      <c r="D901" s="2">
        <v>0.39583333333333331</v>
      </c>
      <c r="E901" s="1" t="s">
        <v>686</v>
      </c>
      <c r="F901" s="5">
        <v>3</v>
      </c>
      <c r="G901" s="5">
        <v>2</v>
      </c>
      <c r="H901" s="1">
        <v>1.62</v>
      </c>
      <c r="I901" s="1">
        <v>4.3099999999999996</v>
      </c>
      <c r="J901" s="1">
        <v>4.08</v>
      </c>
      <c r="K901" s="6">
        <f>+H901-J901</f>
        <v>-2.46</v>
      </c>
      <c r="L901" s="7" t="str">
        <f>IF(F901-G901&gt;0,"Win","Loss")</f>
        <v>Win</v>
      </c>
      <c r="M901" s="14">
        <f t="shared" si="26"/>
        <v>31</v>
      </c>
      <c r="N901" s="14">
        <f t="shared" si="27"/>
        <v>50</v>
      </c>
    </row>
    <row r="902" spans="1:14" ht="12.75" x14ac:dyDescent="0.2">
      <c r="A902" s="1" t="s">
        <v>1020</v>
      </c>
      <c r="B902" s="3" t="s">
        <v>1021</v>
      </c>
      <c r="C902" s="4">
        <v>43533</v>
      </c>
      <c r="D902" s="2">
        <v>0.375</v>
      </c>
      <c r="E902" s="1" t="s">
        <v>687</v>
      </c>
      <c r="F902" s="5">
        <v>1</v>
      </c>
      <c r="G902" s="5">
        <v>3</v>
      </c>
      <c r="H902" s="1">
        <v>2.62</v>
      </c>
      <c r="I902" s="1">
        <v>3.22</v>
      </c>
      <c r="J902" s="1">
        <v>2.4500000000000002</v>
      </c>
      <c r="K902" s="6">
        <f>+H902-J902</f>
        <v>0.16999999999999993</v>
      </c>
      <c r="L902" s="7" t="str">
        <f>IF(F902-G902&gt;0,"Win","Loss")</f>
        <v>Loss</v>
      </c>
      <c r="M902" s="14">
        <f t="shared" si="26"/>
        <v>-50</v>
      </c>
      <c r="N902" s="14">
        <f t="shared" si="27"/>
        <v>50</v>
      </c>
    </row>
    <row r="903" spans="1:14" ht="12.75" x14ac:dyDescent="0.2">
      <c r="A903" s="1" t="s">
        <v>998</v>
      </c>
      <c r="B903" s="3" t="s">
        <v>999</v>
      </c>
      <c r="C903" s="4">
        <v>43534</v>
      </c>
      <c r="D903" s="2">
        <v>0.70833333333333337</v>
      </c>
      <c r="E903" s="1" t="s">
        <v>120</v>
      </c>
      <c r="F903" s="5">
        <v>1</v>
      </c>
      <c r="G903" s="5">
        <v>5</v>
      </c>
      <c r="H903" s="1">
        <v>2.66</v>
      </c>
      <c r="I903" s="1">
        <v>3.19</v>
      </c>
      <c r="J903" s="1">
        <v>2.4</v>
      </c>
      <c r="K903" s="6">
        <f>+H903-J903</f>
        <v>0.26000000000000023</v>
      </c>
      <c r="L903" s="7" t="str">
        <f>IF(F903-G903&gt;0,"Win","Loss")</f>
        <v>Loss</v>
      </c>
      <c r="M903" s="14">
        <f t="shared" si="26"/>
        <v>-50</v>
      </c>
      <c r="N903" s="14">
        <f t="shared" si="27"/>
        <v>50</v>
      </c>
    </row>
    <row r="904" spans="1:14" ht="12.75" x14ac:dyDescent="0.2">
      <c r="A904" s="1" t="s">
        <v>998</v>
      </c>
      <c r="B904" s="3" t="s">
        <v>999</v>
      </c>
      <c r="C904" s="4">
        <v>43534</v>
      </c>
      <c r="D904" s="2">
        <v>0.625</v>
      </c>
      <c r="E904" s="1" t="s">
        <v>121</v>
      </c>
      <c r="F904" s="5">
        <v>1</v>
      </c>
      <c r="G904" s="5">
        <v>3</v>
      </c>
      <c r="H904" s="1">
        <v>2.23</v>
      </c>
      <c r="I904" s="1">
        <v>3.38</v>
      </c>
      <c r="J904" s="1">
        <v>2.81</v>
      </c>
      <c r="K904" s="6">
        <f>+H904-J904</f>
        <v>-0.58000000000000007</v>
      </c>
      <c r="L904" s="7" t="str">
        <f>IF(F904-G904&gt;0,"Win","Loss")</f>
        <v>Loss</v>
      </c>
      <c r="M904" s="14">
        <f t="shared" si="26"/>
        <v>-50</v>
      </c>
      <c r="N904" s="14">
        <f t="shared" si="27"/>
        <v>50</v>
      </c>
    </row>
    <row r="905" spans="1:14" ht="12.75" x14ac:dyDescent="0.2">
      <c r="A905" s="1" t="s">
        <v>998</v>
      </c>
      <c r="B905" s="3" t="s">
        <v>999</v>
      </c>
      <c r="C905" s="4">
        <v>43534</v>
      </c>
      <c r="D905" s="2">
        <v>0.45833333333333331</v>
      </c>
      <c r="E905" s="1" t="s">
        <v>122</v>
      </c>
      <c r="F905" s="5">
        <v>0</v>
      </c>
      <c r="G905" s="5">
        <v>2</v>
      </c>
      <c r="H905" s="1">
        <v>2.78</v>
      </c>
      <c r="I905" s="1">
        <v>3.2</v>
      </c>
      <c r="J905" s="1">
        <v>2.29</v>
      </c>
      <c r="K905" s="6">
        <f>+H905-J905</f>
        <v>0.48999999999999977</v>
      </c>
      <c r="L905" s="7" t="str">
        <f>IF(F905-G905&gt;0,"Win","Loss")</f>
        <v>Loss</v>
      </c>
      <c r="M905" s="14">
        <f t="shared" si="26"/>
        <v>-50</v>
      </c>
      <c r="N905" s="14">
        <f t="shared" si="27"/>
        <v>50</v>
      </c>
    </row>
    <row r="906" spans="1:14" ht="12.75" x14ac:dyDescent="0.2">
      <c r="A906" s="1" t="s">
        <v>1000</v>
      </c>
      <c r="B906" s="3" t="s">
        <v>1001</v>
      </c>
      <c r="C906" s="4">
        <v>43534</v>
      </c>
      <c r="D906" s="2">
        <v>0.91666666666666663</v>
      </c>
      <c r="E906" s="1" t="s">
        <v>155</v>
      </c>
      <c r="F906" s="5">
        <v>0</v>
      </c>
      <c r="G906" s="5">
        <v>1</v>
      </c>
      <c r="H906" s="1">
        <v>2.41</v>
      </c>
      <c r="I906" s="1">
        <v>2.9</v>
      </c>
      <c r="J906" s="1">
        <v>3.08</v>
      </c>
      <c r="K906" s="6">
        <f>+H906-J906</f>
        <v>-0.66999999999999993</v>
      </c>
      <c r="L906" s="7" t="str">
        <f>IF(F906-G906&gt;0,"Win","Loss")</f>
        <v>Loss</v>
      </c>
      <c r="M906" s="14">
        <f t="shared" si="26"/>
        <v>-50</v>
      </c>
      <c r="N906" s="14">
        <f t="shared" si="27"/>
        <v>50</v>
      </c>
    </row>
    <row r="907" spans="1:14" ht="12.75" x14ac:dyDescent="0.2">
      <c r="A907" s="1" t="s">
        <v>1000</v>
      </c>
      <c r="B907" s="3" t="s">
        <v>1001</v>
      </c>
      <c r="C907" s="4">
        <v>43534</v>
      </c>
      <c r="D907" s="2">
        <v>0.91666666666666663</v>
      </c>
      <c r="E907" s="1" t="s">
        <v>156</v>
      </c>
      <c r="F907" s="5">
        <v>4</v>
      </c>
      <c r="G907" s="5">
        <v>0</v>
      </c>
      <c r="H907" s="1">
        <v>1.89</v>
      </c>
      <c r="I907" s="1">
        <v>3.11</v>
      </c>
      <c r="J907" s="1">
        <v>4.24</v>
      </c>
      <c r="K907" s="6">
        <f>+H907-J907</f>
        <v>-2.3500000000000005</v>
      </c>
      <c r="L907" s="7" t="str">
        <f>IF(F907-G907&gt;0,"Win","Loss")</f>
        <v>Win</v>
      </c>
      <c r="M907" s="14">
        <f t="shared" si="26"/>
        <v>44.5</v>
      </c>
      <c r="N907" s="14">
        <f t="shared" si="27"/>
        <v>50</v>
      </c>
    </row>
    <row r="908" spans="1:14" ht="12.75" x14ac:dyDescent="0.2">
      <c r="A908" s="1" t="s">
        <v>1000</v>
      </c>
      <c r="B908" s="3" t="s">
        <v>1001</v>
      </c>
      <c r="C908" s="4">
        <v>43534</v>
      </c>
      <c r="D908" s="2">
        <v>0.83333333333333337</v>
      </c>
      <c r="E908" s="1" t="s">
        <v>157</v>
      </c>
      <c r="F908" s="5">
        <v>2</v>
      </c>
      <c r="G908" s="5">
        <v>0</v>
      </c>
      <c r="H908" s="1">
        <v>2.58</v>
      </c>
      <c r="I908" s="1">
        <v>2.76</v>
      </c>
      <c r="J908" s="1">
        <v>2.98</v>
      </c>
      <c r="K908" s="6">
        <f>+H908-J908</f>
        <v>-0.39999999999999991</v>
      </c>
      <c r="L908" s="7" t="str">
        <f>IF(F908-G908&gt;0,"Win","Loss")</f>
        <v>Win</v>
      </c>
      <c r="M908" s="14">
        <f t="shared" si="26"/>
        <v>79</v>
      </c>
      <c r="N908" s="14">
        <f t="shared" si="27"/>
        <v>50</v>
      </c>
    </row>
    <row r="909" spans="1:14" ht="12.75" x14ac:dyDescent="0.2">
      <c r="A909" s="1" t="s">
        <v>1010</v>
      </c>
      <c r="B909" s="3" t="s">
        <v>1011</v>
      </c>
      <c r="C909" s="4">
        <v>43534</v>
      </c>
      <c r="D909" s="2">
        <v>0.58333333333333337</v>
      </c>
      <c r="E909" s="1" t="s">
        <v>441</v>
      </c>
      <c r="F909" s="5">
        <v>1</v>
      </c>
      <c r="G909" s="5">
        <v>0</v>
      </c>
      <c r="H909" s="1">
        <v>2.85</v>
      </c>
      <c r="I909" s="1">
        <v>3.6</v>
      </c>
      <c r="J909" s="1">
        <v>2</v>
      </c>
      <c r="K909" s="6">
        <f>+H909-J909</f>
        <v>0.85000000000000009</v>
      </c>
      <c r="L909" s="7" t="str">
        <f>IF(F909-G909&gt;0,"Win","Loss")</f>
        <v>Win</v>
      </c>
      <c r="M909" s="14">
        <f t="shared" si="26"/>
        <v>92.5</v>
      </c>
      <c r="N909" s="14">
        <f t="shared" si="27"/>
        <v>50</v>
      </c>
    </row>
    <row r="910" spans="1:14" ht="12.75" x14ac:dyDescent="0.2">
      <c r="A910" s="1" t="s">
        <v>1010</v>
      </c>
      <c r="B910" s="3" t="s">
        <v>1011</v>
      </c>
      <c r="C910" s="4">
        <v>43534</v>
      </c>
      <c r="D910" s="2">
        <v>0.58333333333333337</v>
      </c>
      <c r="E910" s="1" t="s">
        <v>442</v>
      </c>
      <c r="F910" s="5">
        <v>3</v>
      </c>
      <c r="G910" s="5">
        <v>0</v>
      </c>
      <c r="H910" s="1">
        <v>2.1</v>
      </c>
      <c r="I910" s="1">
        <v>3.4</v>
      </c>
      <c r="J910" s="1">
        <v>2.8</v>
      </c>
      <c r="K910" s="6">
        <f>+H910-J910</f>
        <v>-0.69999999999999973</v>
      </c>
      <c r="L910" s="7" t="str">
        <f>IF(F910-G910&gt;0,"Win","Loss")</f>
        <v>Win</v>
      </c>
      <c r="M910" s="14">
        <f t="shared" ref="M910:M973" si="28">IF(L910="Win",(H910*N910)-N910,-N910)</f>
        <v>55</v>
      </c>
      <c r="N910" s="14">
        <f t="shared" ref="N910:N973" si="29">+$M$1</f>
        <v>50</v>
      </c>
    </row>
    <row r="911" spans="1:14" ht="12.75" x14ac:dyDescent="0.2">
      <c r="A911" s="1" t="s">
        <v>1010</v>
      </c>
      <c r="B911" s="3" t="s">
        <v>1011</v>
      </c>
      <c r="C911" s="4">
        <v>43534</v>
      </c>
      <c r="D911" s="2">
        <v>0.58333333333333337</v>
      </c>
      <c r="E911" s="1" t="s">
        <v>443</v>
      </c>
      <c r="F911" s="5">
        <v>0</v>
      </c>
      <c r="G911" s="5">
        <v>1</v>
      </c>
      <c r="H911" s="1">
        <v>4.25</v>
      </c>
      <c r="I911" s="1">
        <v>3.65</v>
      </c>
      <c r="J911" s="1">
        <v>1.6</v>
      </c>
      <c r="K911" s="6">
        <f>+H911-J911</f>
        <v>2.65</v>
      </c>
      <c r="L911" s="7" t="str">
        <f>IF(F911-G911&gt;0,"Win","Loss")</f>
        <v>Loss</v>
      </c>
      <c r="M911" s="14">
        <f t="shared" si="28"/>
        <v>-50</v>
      </c>
      <c r="N911" s="14">
        <f t="shared" si="29"/>
        <v>50</v>
      </c>
    </row>
    <row r="912" spans="1:14" ht="12.75" x14ac:dyDescent="0.2">
      <c r="A912" s="1" t="s">
        <v>1010</v>
      </c>
      <c r="B912" s="3" t="s">
        <v>1011</v>
      </c>
      <c r="C912" s="4">
        <v>43534</v>
      </c>
      <c r="D912" s="2">
        <v>0.58333333333333337</v>
      </c>
      <c r="E912" s="1" t="s">
        <v>444</v>
      </c>
      <c r="F912" s="5">
        <v>3</v>
      </c>
      <c r="G912" s="5">
        <v>1</v>
      </c>
      <c r="H912" s="1">
        <v>1.5</v>
      </c>
      <c r="I912" s="1">
        <v>4</v>
      </c>
      <c r="J912" s="1">
        <v>4.5999999999999996</v>
      </c>
      <c r="K912" s="6">
        <f>+H912-J912</f>
        <v>-3.0999999999999996</v>
      </c>
      <c r="L912" s="7" t="str">
        <f>IF(F912-G912&gt;0,"Win","Loss")</f>
        <v>Win</v>
      </c>
      <c r="M912" s="14">
        <f t="shared" si="28"/>
        <v>25</v>
      </c>
      <c r="N912" s="14">
        <f t="shared" si="29"/>
        <v>50</v>
      </c>
    </row>
    <row r="913" spans="1:14" ht="12.75" x14ac:dyDescent="0.2">
      <c r="A913" s="1" t="s">
        <v>1012</v>
      </c>
      <c r="B913" s="3" t="s">
        <v>1013</v>
      </c>
      <c r="C913" s="4">
        <v>43534</v>
      </c>
      <c r="D913" s="2">
        <v>0.97916666666666663</v>
      </c>
      <c r="E913" s="1" t="s">
        <v>496</v>
      </c>
      <c r="F913" s="5">
        <v>2</v>
      </c>
      <c r="G913" s="5">
        <v>0</v>
      </c>
      <c r="H913" s="1">
        <v>2.12</v>
      </c>
      <c r="I913" s="1">
        <v>3.61</v>
      </c>
      <c r="J913" s="1">
        <v>2.98</v>
      </c>
      <c r="K913" s="6">
        <f>+H913-J913</f>
        <v>-0.85999999999999988</v>
      </c>
      <c r="L913" s="7" t="str">
        <f>IF(F913-G913&gt;0,"Win","Loss")</f>
        <v>Win</v>
      </c>
      <c r="M913" s="14">
        <f t="shared" si="28"/>
        <v>56</v>
      </c>
      <c r="N913" s="14">
        <f t="shared" si="29"/>
        <v>50</v>
      </c>
    </row>
    <row r="914" spans="1:14" ht="12.75" x14ac:dyDescent="0.2">
      <c r="A914" s="1" t="s">
        <v>1012</v>
      </c>
      <c r="B914" s="3" t="s">
        <v>1013</v>
      </c>
      <c r="C914" s="4">
        <v>43534</v>
      </c>
      <c r="D914" s="2">
        <v>0.88541666666666663</v>
      </c>
      <c r="E914" s="1" t="s">
        <v>497</v>
      </c>
      <c r="F914" s="5">
        <v>0</v>
      </c>
      <c r="G914" s="5">
        <v>3</v>
      </c>
      <c r="H914" s="1">
        <v>1.84</v>
      </c>
      <c r="I914" s="1">
        <v>3.81</v>
      </c>
      <c r="J914" s="1">
        <v>3.59</v>
      </c>
      <c r="K914" s="6">
        <f>+H914-J914</f>
        <v>-1.7499999999999998</v>
      </c>
      <c r="L914" s="7" t="str">
        <f>IF(F914-G914&gt;0,"Win","Loss")</f>
        <v>Loss</v>
      </c>
      <c r="M914" s="14">
        <f t="shared" si="28"/>
        <v>-50</v>
      </c>
      <c r="N914" s="14">
        <f t="shared" si="29"/>
        <v>50</v>
      </c>
    </row>
    <row r="915" spans="1:14" ht="12.75" x14ac:dyDescent="0.2">
      <c r="A915" s="1" t="s">
        <v>1012</v>
      </c>
      <c r="B915" s="3" t="s">
        <v>1013</v>
      </c>
      <c r="C915" s="4">
        <v>43534</v>
      </c>
      <c r="D915" s="2">
        <v>0.79166666666666663</v>
      </c>
      <c r="E915" s="1" t="s">
        <v>498</v>
      </c>
      <c r="F915" s="5">
        <v>2</v>
      </c>
      <c r="G915" s="5">
        <v>3</v>
      </c>
      <c r="H915" s="1">
        <v>2.11</v>
      </c>
      <c r="I915" s="1">
        <v>3.26</v>
      </c>
      <c r="J915" s="1">
        <v>3.32</v>
      </c>
      <c r="K915" s="6">
        <f>+H915-J915</f>
        <v>-1.21</v>
      </c>
      <c r="L915" s="7" t="str">
        <f>IF(F915-G915&gt;0,"Win","Loss")</f>
        <v>Loss</v>
      </c>
      <c r="M915" s="14">
        <f t="shared" si="28"/>
        <v>-50</v>
      </c>
      <c r="N915" s="14">
        <f t="shared" si="29"/>
        <v>50</v>
      </c>
    </row>
    <row r="916" spans="1:14" ht="12.75" x14ac:dyDescent="0.2">
      <c r="A916" s="1" t="s">
        <v>1012</v>
      </c>
      <c r="B916" s="3" t="s">
        <v>1013</v>
      </c>
      <c r="C916" s="4">
        <v>43534</v>
      </c>
      <c r="D916" s="2">
        <v>0.79166666666666663</v>
      </c>
      <c r="E916" s="1" t="s">
        <v>499</v>
      </c>
      <c r="F916" s="5">
        <v>2</v>
      </c>
      <c r="G916" s="5">
        <v>3</v>
      </c>
      <c r="H916" s="1">
        <v>2.42</v>
      </c>
      <c r="I916" s="1">
        <v>3.13</v>
      </c>
      <c r="J916" s="1">
        <v>2.86</v>
      </c>
      <c r="K916" s="6">
        <f>+H916-J916</f>
        <v>-0.43999999999999995</v>
      </c>
      <c r="L916" s="7" t="str">
        <f>IF(F916-G916&gt;0,"Win","Loss")</f>
        <v>Loss</v>
      </c>
      <c r="M916" s="14">
        <f t="shared" si="28"/>
        <v>-50</v>
      </c>
      <c r="N916" s="14">
        <f t="shared" si="29"/>
        <v>50</v>
      </c>
    </row>
    <row r="917" spans="1:14" ht="12.75" x14ac:dyDescent="0.2">
      <c r="A917" s="1" t="s">
        <v>1014</v>
      </c>
      <c r="B917" s="3" t="s">
        <v>1015</v>
      </c>
      <c r="C917" s="4">
        <v>43534</v>
      </c>
      <c r="D917" s="2">
        <v>0.66666666666666663</v>
      </c>
      <c r="E917" s="1" t="s">
        <v>540</v>
      </c>
      <c r="F917" s="5">
        <v>0</v>
      </c>
      <c r="G917" s="5">
        <v>0</v>
      </c>
      <c r="H917" s="1">
        <v>1.75</v>
      </c>
      <c r="I917" s="1">
        <v>3.52</v>
      </c>
      <c r="J917" s="1">
        <v>4.4400000000000004</v>
      </c>
      <c r="K917" s="6">
        <f>+H917-J917</f>
        <v>-2.6900000000000004</v>
      </c>
      <c r="L917" s="7" t="str">
        <f>IF(F917-G917&gt;0,"Win","Loss")</f>
        <v>Loss</v>
      </c>
      <c r="M917" s="14">
        <f t="shared" si="28"/>
        <v>-50</v>
      </c>
      <c r="N917" s="14">
        <f t="shared" si="29"/>
        <v>50</v>
      </c>
    </row>
    <row r="918" spans="1:14" ht="12.75" x14ac:dyDescent="0.2">
      <c r="A918" s="1" t="s">
        <v>1014</v>
      </c>
      <c r="B918" s="3" t="s">
        <v>1015</v>
      </c>
      <c r="C918" s="4">
        <v>43534</v>
      </c>
      <c r="D918" s="2">
        <v>0.625</v>
      </c>
      <c r="E918" s="1" t="s">
        <v>541</v>
      </c>
      <c r="F918" s="5">
        <v>2</v>
      </c>
      <c r="G918" s="5">
        <v>1</v>
      </c>
      <c r="H918" s="1">
        <v>2.56</v>
      </c>
      <c r="I918" s="1">
        <v>3.31</v>
      </c>
      <c r="J918" s="1">
        <v>2.5499999999999998</v>
      </c>
      <c r="K918" s="6">
        <f>+H918-J918</f>
        <v>1.0000000000000231E-2</v>
      </c>
      <c r="L918" s="7" t="str">
        <f>IF(F918-G918&gt;0,"Win","Loss")</f>
        <v>Win</v>
      </c>
      <c r="M918" s="14">
        <f t="shared" si="28"/>
        <v>78</v>
      </c>
      <c r="N918" s="14">
        <f t="shared" si="29"/>
        <v>50</v>
      </c>
    </row>
    <row r="919" spans="1:14" ht="12.75" x14ac:dyDescent="0.2">
      <c r="A919" s="1" t="s">
        <v>1014</v>
      </c>
      <c r="B919" s="3" t="s">
        <v>1015</v>
      </c>
      <c r="C919" s="4">
        <v>43534</v>
      </c>
      <c r="D919" s="2">
        <v>0.58333333333333337</v>
      </c>
      <c r="E919" s="1" t="s">
        <v>542</v>
      </c>
      <c r="F919" s="5">
        <v>1</v>
      </c>
      <c r="G919" s="5">
        <v>1</v>
      </c>
      <c r="H919" s="1">
        <v>1.84</v>
      </c>
      <c r="I919" s="1">
        <v>3.41</v>
      </c>
      <c r="J919" s="1">
        <v>4.01</v>
      </c>
      <c r="K919" s="6">
        <f>+H919-J919</f>
        <v>-2.17</v>
      </c>
      <c r="L919" s="7" t="str">
        <f>IF(F919-G919&gt;0,"Win","Loss")</f>
        <v>Loss</v>
      </c>
      <c r="M919" s="14">
        <f t="shared" si="28"/>
        <v>-50</v>
      </c>
      <c r="N919" s="14">
        <f t="shared" si="29"/>
        <v>50</v>
      </c>
    </row>
    <row r="920" spans="1:14" ht="12.75" x14ac:dyDescent="0.2">
      <c r="A920" s="1" t="s">
        <v>1000</v>
      </c>
      <c r="B920" s="3" t="s">
        <v>1001</v>
      </c>
      <c r="C920" s="4">
        <v>43535</v>
      </c>
      <c r="D920" s="2">
        <v>0.97916666666666663</v>
      </c>
      <c r="E920" s="1" t="s">
        <v>151</v>
      </c>
      <c r="F920" s="5">
        <v>1</v>
      </c>
      <c r="G920" s="5">
        <v>0</v>
      </c>
      <c r="H920" s="1">
        <v>2.52</v>
      </c>
      <c r="I920" s="1">
        <v>2.83</v>
      </c>
      <c r="J920" s="1">
        <v>2.98</v>
      </c>
      <c r="K920" s="6">
        <f>+H920-J920</f>
        <v>-0.45999999999999996</v>
      </c>
      <c r="L920" s="7" t="str">
        <f>IF(F920-G920&gt;0,"Win","Loss")</f>
        <v>Win</v>
      </c>
      <c r="M920" s="14">
        <f t="shared" si="28"/>
        <v>76</v>
      </c>
      <c r="N920" s="14">
        <f t="shared" si="29"/>
        <v>50</v>
      </c>
    </row>
    <row r="921" spans="1:14" ht="12.75" x14ac:dyDescent="0.2">
      <c r="A921" s="1" t="s">
        <v>1000</v>
      </c>
      <c r="B921" s="3" t="s">
        <v>1001</v>
      </c>
      <c r="C921" s="4">
        <v>43535</v>
      </c>
      <c r="D921" s="2">
        <v>0.875</v>
      </c>
      <c r="E921" s="1" t="s">
        <v>152</v>
      </c>
      <c r="F921" s="5">
        <v>1</v>
      </c>
      <c r="G921" s="5">
        <v>1</v>
      </c>
      <c r="H921" s="1">
        <v>1.79</v>
      </c>
      <c r="I921" s="1">
        <v>3.05</v>
      </c>
      <c r="J921" s="1">
        <v>5.01</v>
      </c>
      <c r="K921" s="6">
        <f>+H921-J921</f>
        <v>-3.2199999999999998</v>
      </c>
      <c r="L921" s="7" t="str">
        <f>IF(F921-G921&gt;0,"Win","Loss")</f>
        <v>Loss</v>
      </c>
      <c r="M921" s="14">
        <f t="shared" si="28"/>
        <v>-50</v>
      </c>
      <c r="N921" s="14">
        <f t="shared" si="29"/>
        <v>50</v>
      </c>
    </row>
    <row r="922" spans="1:14" ht="12.75" x14ac:dyDescent="0.2">
      <c r="A922" s="1" t="s">
        <v>1000</v>
      </c>
      <c r="B922" s="3" t="s">
        <v>1001</v>
      </c>
      <c r="C922" s="4">
        <v>43535</v>
      </c>
      <c r="D922" s="2">
        <v>0.83680555555555547</v>
      </c>
      <c r="E922" s="1" t="s">
        <v>153</v>
      </c>
      <c r="F922" s="5">
        <v>0</v>
      </c>
      <c r="G922" s="5">
        <v>0</v>
      </c>
      <c r="H922" s="1">
        <v>2.1</v>
      </c>
      <c r="I922" s="1">
        <v>2.92</v>
      </c>
      <c r="J922" s="1">
        <v>3.75</v>
      </c>
      <c r="K922" s="6">
        <f>+H922-J922</f>
        <v>-1.65</v>
      </c>
      <c r="L922" s="7" t="str">
        <f>IF(F922-G922&gt;0,"Win","Loss")</f>
        <v>Loss</v>
      </c>
      <c r="M922" s="14">
        <f t="shared" si="28"/>
        <v>-50</v>
      </c>
      <c r="N922" s="14">
        <f t="shared" si="29"/>
        <v>50</v>
      </c>
    </row>
    <row r="923" spans="1:14" ht="12.75" x14ac:dyDescent="0.2">
      <c r="A923" s="1" t="s">
        <v>1000</v>
      </c>
      <c r="B923" s="3" t="s">
        <v>1001</v>
      </c>
      <c r="C923" s="4">
        <v>43535</v>
      </c>
      <c r="D923" s="2">
        <v>0</v>
      </c>
      <c r="E923" s="1" t="s">
        <v>154</v>
      </c>
      <c r="F923" s="5">
        <v>1</v>
      </c>
      <c r="G923" s="5">
        <v>1</v>
      </c>
      <c r="H923" s="1">
        <v>2.27</v>
      </c>
      <c r="I923" s="1">
        <v>2.88</v>
      </c>
      <c r="J923" s="1">
        <v>3.33</v>
      </c>
      <c r="K923" s="6">
        <f>+H923-J923</f>
        <v>-1.06</v>
      </c>
      <c r="L923" s="7" t="str">
        <f>IF(F923-G923&gt;0,"Win","Loss")</f>
        <v>Loss</v>
      </c>
      <c r="M923" s="14">
        <f t="shared" si="28"/>
        <v>-50</v>
      </c>
      <c r="N923" s="14">
        <f t="shared" si="29"/>
        <v>50</v>
      </c>
    </row>
    <row r="924" spans="1:14" ht="12.75" x14ac:dyDescent="0.2">
      <c r="A924" s="1" t="s">
        <v>1002</v>
      </c>
      <c r="B924" s="3" t="s">
        <v>1003</v>
      </c>
      <c r="C924" s="4">
        <v>43535</v>
      </c>
      <c r="D924" s="2">
        <v>0.65625</v>
      </c>
      <c r="E924" s="1" t="s">
        <v>250</v>
      </c>
      <c r="F924" s="5">
        <v>2</v>
      </c>
      <c r="G924" s="5">
        <v>3</v>
      </c>
      <c r="H924" s="1">
        <v>2.09</v>
      </c>
      <c r="I924" s="1">
        <v>3.14</v>
      </c>
      <c r="J924" s="1">
        <v>3.72</v>
      </c>
      <c r="K924" s="6">
        <f>+H924-J924</f>
        <v>-1.6300000000000003</v>
      </c>
      <c r="L924" s="7" t="str">
        <f>IF(F924-G924&gt;0,"Win","Loss")</f>
        <v>Loss</v>
      </c>
      <c r="M924" s="14">
        <f t="shared" si="28"/>
        <v>-50</v>
      </c>
      <c r="N924" s="14">
        <f t="shared" si="29"/>
        <v>50</v>
      </c>
    </row>
    <row r="925" spans="1:14" ht="12.75" x14ac:dyDescent="0.2">
      <c r="A925" s="1" t="s">
        <v>1002</v>
      </c>
      <c r="B925" s="3" t="s">
        <v>1003</v>
      </c>
      <c r="C925" s="4">
        <v>43535</v>
      </c>
      <c r="D925" s="2">
        <v>0.64930555555555558</v>
      </c>
      <c r="E925" s="1" t="s">
        <v>251</v>
      </c>
      <c r="F925" s="5">
        <v>2</v>
      </c>
      <c r="G925" s="5">
        <v>1</v>
      </c>
      <c r="H925" s="1">
        <v>2.37</v>
      </c>
      <c r="I925" s="1">
        <v>3.34</v>
      </c>
      <c r="J925" s="1">
        <v>2.84</v>
      </c>
      <c r="K925" s="6">
        <f>+H925-J925</f>
        <v>-0.46999999999999975</v>
      </c>
      <c r="L925" s="7" t="str">
        <f>IF(F925-G925&gt;0,"Win","Loss")</f>
        <v>Win</v>
      </c>
      <c r="M925" s="14">
        <f t="shared" si="28"/>
        <v>68.5</v>
      </c>
      <c r="N925" s="14">
        <f t="shared" si="29"/>
        <v>50</v>
      </c>
    </row>
    <row r="926" spans="1:14" ht="12.75" x14ac:dyDescent="0.2">
      <c r="A926" s="1" t="s">
        <v>1002</v>
      </c>
      <c r="B926" s="3" t="s">
        <v>1003</v>
      </c>
      <c r="C926" s="4">
        <v>43535</v>
      </c>
      <c r="D926" s="2">
        <v>0.625</v>
      </c>
      <c r="E926" s="1" t="s">
        <v>252</v>
      </c>
      <c r="F926" s="5">
        <v>4</v>
      </c>
      <c r="G926" s="5">
        <v>1</v>
      </c>
      <c r="H926" s="1">
        <v>2.2200000000000002</v>
      </c>
      <c r="I926" s="1">
        <v>3.41</v>
      </c>
      <c r="J926" s="1">
        <v>3.03</v>
      </c>
      <c r="K926" s="6">
        <f>+H926-J926</f>
        <v>-0.80999999999999961</v>
      </c>
      <c r="L926" s="7" t="str">
        <f>IF(F926-G926&gt;0,"Win","Loss")</f>
        <v>Win</v>
      </c>
      <c r="M926" s="14">
        <f t="shared" si="28"/>
        <v>61.000000000000014</v>
      </c>
      <c r="N926" s="14">
        <f t="shared" si="29"/>
        <v>50</v>
      </c>
    </row>
    <row r="927" spans="1:14" ht="12.75" x14ac:dyDescent="0.2">
      <c r="A927" s="1" t="s">
        <v>1002</v>
      </c>
      <c r="B927" s="3" t="s">
        <v>1003</v>
      </c>
      <c r="C927" s="4">
        <v>43535</v>
      </c>
      <c r="D927" s="2">
        <v>0.58333333333333337</v>
      </c>
      <c r="E927" s="1" t="s">
        <v>253</v>
      </c>
      <c r="F927" s="5">
        <v>5</v>
      </c>
      <c r="G927" s="5">
        <v>0</v>
      </c>
      <c r="H927" s="1">
        <v>1.9</v>
      </c>
      <c r="I927" s="1">
        <v>3.43</v>
      </c>
      <c r="J927" s="1">
        <v>3.95</v>
      </c>
      <c r="K927" s="6">
        <f>+H927-J927</f>
        <v>-2.0500000000000003</v>
      </c>
      <c r="L927" s="7" t="str">
        <f>IF(F927-G927&gt;0,"Win","Loss")</f>
        <v>Win</v>
      </c>
      <c r="M927" s="14">
        <f t="shared" si="28"/>
        <v>45</v>
      </c>
      <c r="N927" s="14">
        <f t="shared" si="29"/>
        <v>50</v>
      </c>
    </row>
    <row r="928" spans="1:14" ht="12.75" x14ac:dyDescent="0.2">
      <c r="A928" s="1" t="s">
        <v>1000</v>
      </c>
      <c r="B928" s="3" t="s">
        <v>1001</v>
      </c>
      <c r="C928" s="4">
        <v>43536</v>
      </c>
      <c r="D928" s="2">
        <v>3.472222222222222E-3</v>
      </c>
      <c r="E928" s="1" t="s">
        <v>150</v>
      </c>
      <c r="F928" s="5">
        <v>2</v>
      </c>
      <c r="G928" s="5">
        <v>0</v>
      </c>
      <c r="H928" s="1">
        <v>3</v>
      </c>
      <c r="I928" s="1">
        <v>2.73</v>
      </c>
      <c r="J928" s="1">
        <v>2.6</v>
      </c>
      <c r="K928" s="6">
        <f>+H928-J928</f>
        <v>0.39999999999999991</v>
      </c>
      <c r="L928" s="7" t="str">
        <f>IF(F928-G928&gt;0,"Win","Loss")</f>
        <v>Win</v>
      </c>
      <c r="M928" s="14">
        <f t="shared" si="28"/>
        <v>100</v>
      </c>
      <c r="N928" s="14">
        <f t="shared" si="29"/>
        <v>50</v>
      </c>
    </row>
    <row r="929" spans="1:14" ht="12.75" x14ac:dyDescent="0.2">
      <c r="A929" s="1" t="s">
        <v>1002</v>
      </c>
      <c r="B929" s="3" t="s">
        <v>1003</v>
      </c>
      <c r="C929" s="4">
        <v>43536</v>
      </c>
      <c r="D929" s="2">
        <v>0.65625</v>
      </c>
      <c r="E929" s="1" t="s">
        <v>242</v>
      </c>
      <c r="F929" s="5">
        <v>3</v>
      </c>
      <c r="G929" s="5">
        <v>1</v>
      </c>
      <c r="H929" s="1">
        <v>2.11</v>
      </c>
      <c r="I929" s="1">
        <v>3.5</v>
      </c>
      <c r="J929" s="1">
        <v>3.21</v>
      </c>
      <c r="K929" s="6">
        <f>+H929-J929</f>
        <v>-1.1000000000000001</v>
      </c>
      <c r="L929" s="7" t="str">
        <f>IF(F929-G929&gt;0,"Win","Loss")</f>
        <v>Win</v>
      </c>
      <c r="M929" s="14">
        <f t="shared" si="28"/>
        <v>55.5</v>
      </c>
      <c r="N929" s="14">
        <f t="shared" si="29"/>
        <v>50</v>
      </c>
    </row>
    <row r="930" spans="1:14" ht="12.75" x14ac:dyDescent="0.2">
      <c r="A930" s="1" t="s">
        <v>1002</v>
      </c>
      <c r="B930" s="3" t="s">
        <v>1003</v>
      </c>
      <c r="C930" s="4">
        <v>43536</v>
      </c>
      <c r="D930" s="2">
        <v>0.65625</v>
      </c>
      <c r="E930" s="1" t="s">
        <v>243</v>
      </c>
      <c r="F930" s="5">
        <v>1</v>
      </c>
      <c r="G930" s="5">
        <v>0</v>
      </c>
      <c r="H930" s="1">
        <v>1.57</v>
      </c>
      <c r="I930" s="1">
        <v>3.97</v>
      </c>
      <c r="J930" s="1">
        <v>5.44</v>
      </c>
      <c r="K930" s="6">
        <f>+H930-J930</f>
        <v>-3.87</v>
      </c>
      <c r="L930" s="7" t="str">
        <f>IF(F930-G930&gt;0,"Win","Loss")</f>
        <v>Win</v>
      </c>
      <c r="M930" s="14">
        <f t="shared" si="28"/>
        <v>28.5</v>
      </c>
      <c r="N930" s="14">
        <f t="shared" si="29"/>
        <v>50</v>
      </c>
    </row>
    <row r="931" spans="1:14" ht="12.75" x14ac:dyDescent="0.2">
      <c r="A931" s="1" t="s">
        <v>1002</v>
      </c>
      <c r="B931" s="3" t="s">
        <v>1003</v>
      </c>
      <c r="C931" s="4">
        <v>43536</v>
      </c>
      <c r="D931" s="2">
        <v>0.64583333333333337</v>
      </c>
      <c r="E931" s="1" t="s">
        <v>244</v>
      </c>
      <c r="F931" s="5">
        <v>1</v>
      </c>
      <c r="G931" s="5">
        <v>1</v>
      </c>
      <c r="H931" s="1">
        <v>1.6</v>
      </c>
      <c r="I931" s="1">
        <v>3.9</v>
      </c>
      <c r="J931" s="1">
        <v>5.27</v>
      </c>
      <c r="K931" s="6">
        <f>+H931-J931</f>
        <v>-3.6699999999999995</v>
      </c>
      <c r="L931" s="7" t="str">
        <f>IF(F931-G931&gt;0,"Win","Loss")</f>
        <v>Loss</v>
      </c>
      <c r="M931" s="14">
        <f t="shared" si="28"/>
        <v>-50</v>
      </c>
      <c r="N931" s="14">
        <f t="shared" si="29"/>
        <v>50</v>
      </c>
    </row>
    <row r="932" spans="1:14" ht="12.75" x14ac:dyDescent="0.2">
      <c r="A932" s="1" t="s">
        <v>1002</v>
      </c>
      <c r="B932" s="3" t="s">
        <v>1003</v>
      </c>
      <c r="C932" s="4">
        <v>43536</v>
      </c>
      <c r="D932" s="2">
        <v>0.54166666666666663</v>
      </c>
      <c r="E932" s="1" t="s">
        <v>245</v>
      </c>
      <c r="F932" s="5">
        <v>1</v>
      </c>
      <c r="G932" s="5">
        <v>0</v>
      </c>
      <c r="H932" s="1">
        <v>2.09</v>
      </c>
      <c r="I932" s="1">
        <v>3.25</v>
      </c>
      <c r="J932" s="1">
        <v>3.44</v>
      </c>
      <c r="K932" s="6">
        <f>+H932-J932</f>
        <v>-1.35</v>
      </c>
      <c r="L932" s="7" t="str">
        <f>IF(F932-G932&gt;0,"Win","Loss")</f>
        <v>Win</v>
      </c>
      <c r="M932" s="14">
        <f t="shared" si="28"/>
        <v>54.5</v>
      </c>
      <c r="N932" s="14">
        <f t="shared" si="29"/>
        <v>50</v>
      </c>
    </row>
    <row r="933" spans="1:14" ht="12.75" x14ac:dyDescent="0.2">
      <c r="A933" s="1" t="s">
        <v>1002</v>
      </c>
      <c r="B933" s="3" t="s">
        <v>1003</v>
      </c>
      <c r="C933" s="4">
        <v>43536</v>
      </c>
      <c r="D933" s="2">
        <v>0.53125</v>
      </c>
      <c r="E933" s="1" t="s">
        <v>246</v>
      </c>
      <c r="F933" s="5">
        <v>1</v>
      </c>
      <c r="G933" s="5">
        <v>1</v>
      </c>
      <c r="H933" s="1">
        <v>3.6</v>
      </c>
      <c r="I933" s="1">
        <v>3.4</v>
      </c>
      <c r="J933" s="1">
        <v>2.0099999999999998</v>
      </c>
      <c r="K933" s="6">
        <f>+H933-J933</f>
        <v>1.5900000000000003</v>
      </c>
      <c r="L933" s="7" t="str">
        <f>IF(F933-G933&gt;0,"Win","Loss")</f>
        <v>Loss</v>
      </c>
      <c r="M933" s="14">
        <f t="shared" si="28"/>
        <v>-50</v>
      </c>
      <c r="N933" s="14">
        <f t="shared" si="29"/>
        <v>50</v>
      </c>
    </row>
    <row r="934" spans="1:14" ht="12.75" x14ac:dyDescent="0.2">
      <c r="A934" s="1" t="s">
        <v>1002</v>
      </c>
      <c r="B934" s="3" t="s">
        <v>1003</v>
      </c>
      <c r="C934" s="4">
        <v>43536</v>
      </c>
      <c r="D934" s="2">
        <v>0.4375</v>
      </c>
      <c r="E934" s="1" t="s">
        <v>247</v>
      </c>
      <c r="F934" s="5">
        <v>3</v>
      </c>
      <c r="G934" s="5">
        <v>1</v>
      </c>
      <c r="H934" s="1">
        <v>2.82</v>
      </c>
      <c r="I934" s="1">
        <v>3.32</v>
      </c>
      <c r="J934" s="1">
        <v>2.4300000000000002</v>
      </c>
      <c r="K934" s="6">
        <f>+H934-J934</f>
        <v>0.38999999999999968</v>
      </c>
      <c r="L934" s="7" t="str">
        <f>IF(F934-G934&gt;0,"Win","Loss")</f>
        <v>Win</v>
      </c>
      <c r="M934" s="14">
        <f t="shared" si="28"/>
        <v>91</v>
      </c>
      <c r="N934" s="14">
        <f t="shared" si="29"/>
        <v>50</v>
      </c>
    </row>
    <row r="935" spans="1:14" ht="12.75" x14ac:dyDescent="0.2">
      <c r="A935" s="1" t="s">
        <v>1002</v>
      </c>
      <c r="B935" s="3" t="s">
        <v>1003</v>
      </c>
      <c r="C935" s="4">
        <v>43536</v>
      </c>
      <c r="D935" s="2">
        <v>0.41666666666666669</v>
      </c>
      <c r="E935" s="1" t="s">
        <v>248</v>
      </c>
      <c r="F935" s="5">
        <v>2</v>
      </c>
      <c r="G935" s="5">
        <v>1</v>
      </c>
      <c r="H935" s="1">
        <v>1.91</v>
      </c>
      <c r="I935" s="1">
        <v>3.6</v>
      </c>
      <c r="J935" s="1">
        <v>3.75</v>
      </c>
      <c r="K935" s="6">
        <f>+H935-J935</f>
        <v>-1.84</v>
      </c>
      <c r="L935" s="7" t="str">
        <f>IF(F935-G935&gt;0,"Win","Loss")</f>
        <v>Win</v>
      </c>
      <c r="M935" s="14">
        <f t="shared" si="28"/>
        <v>45.5</v>
      </c>
      <c r="N935" s="14">
        <f t="shared" si="29"/>
        <v>50</v>
      </c>
    </row>
    <row r="936" spans="1:14" ht="12.75" x14ac:dyDescent="0.2">
      <c r="A936" s="1" t="s">
        <v>1002</v>
      </c>
      <c r="B936" s="3" t="s">
        <v>1003</v>
      </c>
      <c r="C936" s="4">
        <v>43536</v>
      </c>
      <c r="D936" s="2">
        <v>0.3125</v>
      </c>
      <c r="E936" s="1" t="s">
        <v>249</v>
      </c>
      <c r="F936" s="5">
        <v>2</v>
      </c>
      <c r="G936" s="5">
        <v>2</v>
      </c>
      <c r="H936" s="1">
        <v>2.33</v>
      </c>
      <c r="I936" s="1">
        <v>3.39</v>
      </c>
      <c r="J936" s="1">
        <v>2.91</v>
      </c>
      <c r="K936" s="6">
        <f>+H936-J936</f>
        <v>-0.58000000000000007</v>
      </c>
      <c r="L936" s="7" t="str">
        <f>IF(F936-G936&gt;0,"Win","Loss")</f>
        <v>Loss</v>
      </c>
      <c r="M936" s="14">
        <f t="shared" si="28"/>
        <v>-50</v>
      </c>
      <c r="N936" s="14">
        <f t="shared" si="29"/>
        <v>50</v>
      </c>
    </row>
    <row r="937" spans="1:14" ht="12.75" x14ac:dyDescent="0.2">
      <c r="A937" s="1" t="s">
        <v>1000</v>
      </c>
      <c r="B937" s="3" t="s">
        <v>1001</v>
      </c>
      <c r="C937" s="4">
        <v>43537</v>
      </c>
      <c r="D937" s="2">
        <v>2.7777777777777776E-2</v>
      </c>
      <c r="E937" s="1" t="s">
        <v>149</v>
      </c>
      <c r="F937" s="5">
        <v>0</v>
      </c>
      <c r="G937" s="5">
        <v>0</v>
      </c>
      <c r="H937" s="1">
        <v>2.84</v>
      </c>
      <c r="I937" s="1">
        <v>2.71</v>
      </c>
      <c r="J937" s="1">
        <v>2.74</v>
      </c>
      <c r="K937" s="6">
        <f>+H937-J937</f>
        <v>9.9999999999999645E-2</v>
      </c>
      <c r="L937" s="7" t="str">
        <f>IF(F937-G937&gt;0,"Win","Loss")</f>
        <v>Loss</v>
      </c>
      <c r="M937" s="14">
        <f t="shared" si="28"/>
        <v>-50</v>
      </c>
      <c r="N937" s="14">
        <f t="shared" si="29"/>
        <v>50</v>
      </c>
    </row>
    <row r="938" spans="1:14" ht="12.75" x14ac:dyDescent="0.2">
      <c r="A938" s="1" t="s">
        <v>1002</v>
      </c>
      <c r="B938" s="3" t="s">
        <v>1003</v>
      </c>
      <c r="C938" s="4">
        <v>43537</v>
      </c>
      <c r="D938" s="2">
        <v>0.5</v>
      </c>
      <c r="E938" s="1" t="s">
        <v>238</v>
      </c>
      <c r="F938" s="5">
        <v>0</v>
      </c>
      <c r="G938" s="5">
        <v>0</v>
      </c>
      <c r="H938" s="1">
        <v>1.9</v>
      </c>
      <c r="I938" s="1">
        <v>3.54</v>
      </c>
      <c r="J938" s="1">
        <v>3.86</v>
      </c>
      <c r="K938" s="6">
        <f>+H938-J938</f>
        <v>-1.96</v>
      </c>
      <c r="L938" s="7" t="str">
        <f>IF(F938-G938&gt;0,"Win","Loss")</f>
        <v>Loss</v>
      </c>
      <c r="M938" s="14">
        <f t="shared" si="28"/>
        <v>-50</v>
      </c>
      <c r="N938" s="14">
        <f t="shared" si="29"/>
        <v>50</v>
      </c>
    </row>
    <row r="939" spans="1:14" ht="12.75" x14ac:dyDescent="0.2">
      <c r="A939" s="1" t="s">
        <v>1002</v>
      </c>
      <c r="B939" s="3" t="s">
        <v>1003</v>
      </c>
      <c r="C939" s="4">
        <v>43537</v>
      </c>
      <c r="D939" s="2">
        <v>0.45833333333333331</v>
      </c>
      <c r="E939" s="1" t="s">
        <v>239</v>
      </c>
      <c r="F939" s="5">
        <v>1</v>
      </c>
      <c r="G939" s="5">
        <v>0</v>
      </c>
      <c r="H939" s="1">
        <v>5.79</v>
      </c>
      <c r="I939" s="1">
        <v>4.3499999999999996</v>
      </c>
      <c r="J939" s="1">
        <v>1.5</v>
      </c>
      <c r="K939" s="6">
        <f>+H939-J939</f>
        <v>4.29</v>
      </c>
      <c r="L939" s="7" t="str">
        <f>IF(F939-G939&gt;0,"Win","Loss")</f>
        <v>Win</v>
      </c>
      <c r="M939" s="14">
        <f t="shared" si="28"/>
        <v>239.5</v>
      </c>
      <c r="N939" s="14">
        <f t="shared" si="29"/>
        <v>50</v>
      </c>
    </row>
    <row r="940" spans="1:14" ht="12.75" x14ac:dyDescent="0.2">
      <c r="A940" s="1" t="s">
        <v>1002</v>
      </c>
      <c r="B940" s="3" t="s">
        <v>1003</v>
      </c>
      <c r="C940" s="4">
        <v>43537</v>
      </c>
      <c r="D940" s="2">
        <v>0.41666666666666669</v>
      </c>
      <c r="E940" s="1" t="s">
        <v>240</v>
      </c>
      <c r="F940" s="5">
        <v>1</v>
      </c>
      <c r="G940" s="5">
        <v>0</v>
      </c>
      <c r="H940" s="1">
        <v>1.43</v>
      </c>
      <c r="I940" s="1">
        <v>4.53</v>
      </c>
      <c r="J940" s="1">
        <v>6.8</v>
      </c>
      <c r="K940" s="6">
        <f>+H940-J940</f>
        <v>-5.37</v>
      </c>
      <c r="L940" s="7" t="str">
        <f>IF(F940-G940&gt;0,"Win","Loss")</f>
        <v>Win</v>
      </c>
      <c r="M940" s="14">
        <f t="shared" si="28"/>
        <v>21.5</v>
      </c>
      <c r="N940" s="14">
        <f t="shared" si="29"/>
        <v>50</v>
      </c>
    </row>
    <row r="941" spans="1:14" ht="12.75" x14ac:dyDescent="0.2">
      <c r="A941" s="1" t="s">
        <v>1002</v>
      </c>
      <c r="B941" s="3" t="s">
        <v>1003</v>
      </c>
      <c r="C941" s="4">
        <v>43537</v>
      </c>
      <c r="D941" s="2">
        <v>0.41666666666666669</v>
      </c>
      <c r="E941" s="1" t="s">
        <v>241</v>
      </c>
      <c r="F941" s="5">
        <v>1</v>
      </c>
      <c r="G941" s="5">
        <v>0</v>
      </c>
      <c r="H941" s="1">
        <v>2.59</v>
      </c>
      <c r="I941" s="1">
        <v>3.42</v>
      </c>
      <c r="J941" s="1">
        <v>2.5499999999999998</v>
      </c>
      <c r="K941" s="6">
        <f>+H941-J941</f>
        <v>4.0000000000000036E-2</v>
      </c>
      <c r="L941" s="7" t="str">
        <f>IF(F941-G941&gt;0,"Win","Loss")</f>
        <v>Win</v>
      </c>
      <c r="M941" s="14">
        <f t="shared" si="28"/>
        <v>79.5</v>
      </c>
      <c r="N941" s="14">
        <f t="shared" si="29"/>
        <v>50</v>
      </c>
    </row>
    <row r="942" spans="1:14" ht="12.75" x14ac:dyDescent="0.2">
      <c r="A942" s="1" t="s">
        <v>1012</v>
      </c>
      <c r="B942" s="3" t="s">
        <v>1013</v>
      </c>
      <c r="C942" s="4">
        <v>43537</v>
      </c>
      <c r="D942" s="2">
        <v>0.92708333333333337</v>
      </c>
      <c r="E942" s="1" t="s">
        <v>495</v>
      </c>
      <c r="F942" s="5">
        <v>2</v>
      </c>
      <c r="G942" s="5">
        <v>2</v>
      </c>
      <c r="H942" s="1">
        <v>1.68</v>
      </c>
      <c r="I942" s="1">
        <v>3.82</v>
      </c>
      <c r="J942" s="1">
        <v>4.3099999999999996</v>
      </c>
      <c r="K942" s="6">
        <f>+H942-J942</f>
        <v>-2.63</v>
      </c>
      <c r="L942" s="7" t="str">
        <f>IF(F942-G942&gt;0,"Win","Loss")</f>
        <v>Loss</v>
      </c>
      <c r="M942" s="14">
        <f t="shared" si="28"/>
        <v>-50</v>
      </c>
      <c r="N942" s="14">
        <f t="shared" si="29"/>
        <v>50</v>
      </c>
    </row>
    <row r="943" spans="1:14" ht="12.75" x14ac:dyDescent="0.2">
      <c r="A943" s="1" t="s">
        <v>1012</v>
      </c>
      <c r="B943" s="3" t="s">
        <v>1013</v>
      </c>
      <c r="C943" s="4">
        <v>43538</v>
      </c>
      <c r="D943" s="2">
        <v>0.92708333333333337</v>
      </c>
      <c r="E943" s="1" t="s">
        <v>492</v>
      </c>
      <c r="F943" s="5">
        <v>1</v>
      </c>
      <c r="G943" s="5">
        <v>5</v>
      </c>
      <c r="H943" s="1">
        <v>2.8</v>
      </c>
      <c r="I943" s="1">
        <v>3.42</v>
      </c>
      <c r="J943" s="1">
        <v>2.2799999999999998</v>
      </c>
      <c r="K943" s="6">
        <f>+H943-J943</f>
        <v>0.52</v>
      </c>
      <c r="L943" s="7" t="str">
        <f>IF(F943-G943&gt;0,"Win","Loss")</f>
        <v>Loss</v>
      </c>
      <c r="M943" s="14">
        <f t="shared" si="28"/>
        <v>-50</v>
      </c>
      <c r="N943" s="14">
        <f t="shared" si="29"/>
        <v>50</v>
      </c>
    </row>
    <row r="944" spans="1:14" ht="12.75" x14ac:dyDescent="0.2">
      <c r="A944" s="1" t="s">
        <v>1012</v>
      </c>
      <c r="B944" s="3" t="s">
        <v>1013</v>
      </c>
      <c r="C944" s="4">
        <v>43538</v>
      </c>
      <c r="D944" s="2">
        <v>2.0833333333333332E-2</v>
      </c>
      <c r="E944" s="1" t="s">
        <v>493</v>
      </c>
      <c r="F944" s="5">
        <v>4</v>
      </c>
      <c r="G944" s="5">
        <v>1</v>
      </c>
      <c r="H944" s="1">
        <v>1.53</v>
      </c>
      <c r="I944" s="1">
        <v>4.16</v>
      </c>
      <c r="J944" s="1">
        <v>5.33</v>
      </c>
      <c r="K944" s="6">
        <f>+H944-J944</f>
        <v>-3.8</v>
      </c>
      <c r="L944" s="7" t="str">
        <f>IF(F944-G944&gt;0,"Win","Loss")</f>
        <v>Win</v>
      </c>
      <c r="M944" s="14">
        <f t="shared" si="28"/>
        <v>26.5</v>
      </c>
      <c r="N944" s="14">
        <f t="shared" si="29"/>
        <v>50</v>
      </c>
    </row>
    <row r="945" spans="1:14" ht="12.75" x14ac:dyDescent="0.2">
      <c r="A945" s="1" t="s">
        <v>1012</v>
      </c>
      <c r="B945" s="3" t="s">
        <v>1013</v>
      </c>
      <c r="C945" s="4">
        <v>43538</v>
      </c>
      <c r="D945" s="2">
        <v>2.0833333333333332E-2</v>
      </c>
      <c r="E945" s="1" t="s">
        <v>494</v>
      </c>
      <c r="F945" s="5">
        <v>1</v>
      </c>
      <c r="G945" s="5">
        <v>1</v>
      </c>
      <c r="H945" s="1">
        <v>2.5</v>
      </c>
      <c r="I945" s="1">
        <v>3.57</v>
      </c>
      <c r="J945" s="1">
        <v>2.4700000000000002</v>
      </c>
      <c r="K945" s="6">
        <f>+H945-J945</f>
        <v>2.9999999999999805E-2</v>
      </c>
      <c r="L945" s="7" t="str">
        <f>IF(F945-G945&gt;0,"Win","Loss")</f>
        <v>Loss</v>
      </c>
      <c r="M945" s="14">
        <f t="shared" si="28"/>
        <v>-50</v>
      </c>
      <c r="N945" s="14">
        <f t="shared" si="29"/>
        <v>50</v>
      </c>
    </row>
    <row r="946" spans="1:14" ht="12.75" x14ac:dyDescent="0.2">
      <c r="A946" s="1" t="s">
        <v>1000</v>
      </c>
      <c r="B946" s="3" t="s">
        <v>1001</v>
      </c>
      <c r="C946" s="4">
        <v>43539</v>
      </c>
      <c r="D946" s="2">
        <v>0.85416666666666663</v>
      </c>
      <c r="E946" s="1" t="s">
        <v>148</v>
      </c>
      <c r="F946" s="5">
        <v>1</v>
      </c>
      <c r="G946" s="5">
        <v>0</v>
      </c>
      <c r="H946" s="1">
        <v>2.48</v>
      </c>
      <c r="I946" s="1">
        <v>2.8</v>
      </c>
      <c r="J946" s="1">
        <v>3.04</v>
      </c>
      <c r="K946" s="6">
        <f>+H946-J946</f>
        <v>-0.56000000000000005</v>
      </c>
      <c r="L946" s="7" t="str">
        <f>IF(F946-G946&gt;0,"Win","Loss")</f>
        <v>Win</v>
      </c>
      <c r="M946" s="14">
        <f t="shared" si="28"/>
        <v>74</v>
      </c>
      <c r="N946" s="14">
        <f t="shared" si="29"/>
        <v>50</v>
      </c>
    </row>
    <row r="947" spans="1:14" ht="12.75" x14ac:dyDescent="0.2">
      <c r="A947" s="1" t="s">
        <v>1012</v>
      </c>
      <c r="B947" s="3" t="s">
        <v>1013</v>
      </c>
      <c r="C947" s="4">
        <v>43539</v>
      </c>
      <c r="D947" s="2">
        <v>2.0833333333333332E-2</v>
      </c>
      <c r="E947" s="1" t="s">
        <v>491</v>
      </c>
      <c r="F947" s="5">
        <v>3</v>
      </c>
      <c r="G947" s="5">
        <v>1</v>
      </c>
      <c r="H947" s="1">
        <v>2.52</v>
      </c>
      <c r="I947" s="1">
        <v>3.51</v>
      </c>
      <c r="J947" s="1">
        <v>2.5</v>
      </c>
      <c r="K947" s="6">
        <f>+H947-J947</f>
        <v>2.0000000000000018E-2</v>
      </c>
      <c r="L947" s="7" t="str">
        <f>IF(F947-G947&gt;0,"Win","Loss")</f>
        <v>Win</v>
      </c>
      <c r="M947" s="14">
        <f t="shared" si="28"/>
        <v>76</v>
      </c>
      <c r="N947" s="14">
        <f t="shared" si="29"/>
        <v>50</v>
      </c>
    </row>
    <row r="948" spans="1:14" ht="12.75" x14ac:dyDescent="0.2">
      <c r="A948" s="1" t="s">
        <v>1014</v>
      </c>
      <c r="B948" s="3" t="s">
        <v>1015</v>
      </c>
      <c r="C948" s="4">
        <v>43539</v>
      </c>
      <c r="D948" s="2">
        <v>0.625</v>
      </c>
      <c r="E948" s="1" t="s">
        <v>539</v>
      </c>
      <c r="F948" s="5">
        <v>1</v>
      </c>
      <c r="G948" s="5">
        <v>2</v>
      </c>
      <c r="H948" s="1">
        <v>4.5</v>
      </c>
      <c r="I948" s="1">
        <v>3.8</v>
      </c>
      <c r="J948" s="1">
        <v>1.66</v>
      </c>
      <c r="K948" s="6">
        <f>+H948-J948</f>
        <v>2.84</v>
      </c>
      <c r="L948" s="7" t="str">
        <f>IF(F948-G948&gt;0,"Win","Loss")</f>
        <v>Loss</v>
      </c>
      <c r="M948" s="14">
        <f t="shared" si="28"/>
        <v>-50</v>
      </c>
      <c r="N948" s="14">
        <f t="shared" si="29"/>
        <v>50</v>
      </c>
    </row>
    <row r="949" spans="1:14" ht="12.75" x14ac:dyDescent="0.2">
      <c r="A949" s="1" t="s">
        <v>1000</v>
      </c>
      <c r="B949" s="3" t="s">
        <v>1001</v>
      </c>
      <c r="C949" s="4">
        <v>43540</v>
      </c>
      <c r="D949" s="2">
        <v>0.83680555555555547</v>
      </c>
      <c r="E949" s="1" t="s">
        <v>147</v>
      </c>
      <c r="F949" s="5">
        <v>3</v>
      </c>
      <c r="G949" s="5">
        <v>0</v>
      </c>
      <c r="H949" s="1">
        <v>2.25</v>
      </c>
      <c r="I949" s="1">
        <v>2.82</v>
      </c>
      <c r="J949" s="1">
        <v>3.48</v>
      </c>
      <c r="K949" s="6">
        <f>+H949-J949</f>
        <v>-1.23</v>
      </c>
      <c r="L949" s="7" t="str">
        <f>IF(F949-G949&gt;0,"Win","Loss")</f>
        <v>Win</v>
      </c>
      <c r="M949" s="14">
        <f t="shared" si="28"/>
        <v>62.5</v>
      </c>
      <c r="N949" s="14">
        <f t="shared" si="29"/>
        <v>50</v>
      </c>
    </row>
    <row r="950" spans="1:14" ht="12.75" x14ac:dyDescent="0.2">
      <c r="A950" s="1" t="s">
        <v>1010</v>
      </c>
      <c r="B950" s="3" t="s">
        <v>1011</v>
      </c>
      <c r="C950" s="4">
        <v>43540</v>
      </c>
      <c r="D950" s="2">
        <v>0.79166666666666663</v>
      </c>
      <c r="E950" s="1" t="s">
        <v>438</v>
      </c>
      <c r="F950" s="5">
        <v>1</v>
      </c>
      <c r="G950" s="5">
        <v>0</v>
      </c>
      <c r="H950" s="1">
        <v>2.63</v>
      </c>
      <c r="I950" s="1">
        <v>3.6</v>
      </c>
      <c r="J950" s="1">
        <v>2.15</v>
      </c>
      <c r="K950" s="6">
        <f>+H950-J950</f>
        <v>0.48</v>
      </c>
      <c r="L950" s="7" t="str">
        <f>IF(F950-G950&gt;0,"Win","Loss")</f>
        <v>Win</v>
      </c>
      <c r="M950" s="14">
        <f t="shared" si="28"/>
        <v>81.5</v>
      </c>
      <c r="N950" s="14">
        <f t="shared" si="29"/>
        <v>50</v>
      </c>
    </row>
    <row r="951" spans="1:14" ht="12.75" x14ac:dyDescent="0.2">
      <c r="A951" s="1" t="s">
        <v>1010</v>
      </c>
      <c r="B951" s="3" t="s">
        <v>1011</v>
      </c>
      <c r="C951" s="4">
        <v>43540</v>
      </c>
      <c r="D951" s="2">
        <v>0.77083333333333337</v>
      </c>
      <c r="E951" s="1" t="s">
        <v>439</v>
      </c>
      <c r="F951" s="5">
        <v>0</v>
      </c>
      <c r="G951" s="5">
        <v>2</v>
      </c>
      <c r="H951" s="1">
        <v>2.1</v>
      </c>
      <c r="I951" s="1">
        <v>3.65</v>
      </c>
      <c r="J951" s="1">
        <v>2.7</v>
      </c>
      <c r="K951" s="6">
        <f>+H951-J951</f>
        <v>-0.60000000000000009</v>
      </c>
      <c r="L951" s="7" t="str">
        <f>IF(F951-G951&gt;0,"Win","Loss")</f>
        <v>Loss</v>
      </c>
      <c r="M951" s="14">
        <f t="shared" si="28"/>
        <v>-50</v>
      </c>
      <c r="N951" s="14">
        <f t="shared" si="29"/>
        <v>50</v>
      </c>
    </row>
    <row r="952" spans="1:14" ht="12.75" x14ac:dyDescent="0.2">
      <c r="A952" s="1" t="s">
        <v>1010</v>
      </c>
      <c r="B952" s="3" t="s">
        <v>1011</v>
      </c>
      <c r="C952" s="4">
        <v>43540</v>
      </c>
      <c r="D952" s="2">
        <v>0.77083333333333337</v>
      </c>
      <c r="E952" s="1" t="s">
        <v>440</v>
      </c>
      <c r="F952" s="5">
        <v>5</v>
      </c>
      <c r="G952" s="5">
        <v>0</v>
      </c>
      <c r="H952" s="1">
        <v>1.8</v>
      </c>
      <c r="I952" s="1">
        <v>3.6</v>
      </c>
      <c r="J952" s="1">
        <v>3.4</v>
      </c>
      <c r="K952" s="6">
        <f>+H952-J952</f>
        <v>-1.5999999999999999</v>
      </c>
      <c r="L952" s="7" t="str">
        <f>IF(F952-G952&gt;0,"Win","Loss")</f>
        <v>Win</v>
      </c>
      <c r="M952" s="14">
        <f t="shared" si="28"/>
        <v>40</v>
      </c>
      <c r="N952" s="14">
        <f t="shared" si="29"/>
        <v>50</v>
      </c>
    </row>
    <row r="953" spans="1:14" ht="12.75" x14ac:dyDescent="0.2">
      <c r="A953" s="1" t="s">
        <v>1012</v>
      </c>
      <c r="B953" s="3" t="s">
        <v>1013</v>
      </c>
      <c r="C953" s="4">
        <v>43540</v>
      </c>
      <c r="D953" s="2">
        <v>0.79166666666666663</v>
      </c>
      <c r="E953" s="1" t="s">
        <v>489</v>
      </c>
      <c r="F953" s="5">
        <v>1</v>
      </c>
      <c r="G953" s="5">
        <v>2</v>
      </c>
      <c r="H953" s="1">
        <v>2.93</v>
      </c>
      <c r="I953" s="1">
        <v>3.51</v>
      </c>
      <c r="J953" s="1">
        <v>2.1800000000000002</v>
      </c>
      <c r="K953" s="6">
        <f>+H953-J953</f>
        <v>0.75</v>
      </c>
      <c r="L953" s="7" t="str">
        <f>IF(F953-G953&gt;0,"Win","Loss")</f>
        <v>Loss</v>
      </c>
      <c r="M953" s="14">
        <f t="shared" si="28"/>
        <v>-50</v>
      </c>
      <c r="N953" s="14">
        <f t="shared" si="29"/>
        <v>50</v>
      </c>
    </row>
    <row r="954" spans="1:14" ht="12.75" x14ac:dyDescent="0.2">
      <c r="A954" s="1" t="s">
        <v>1012</v>
      </c>
      <c r="B954" s="3" t="s">
        <v>1013</v>
      </c>
      <c r="C954" s="4">
        <v>43540</v>
      </c>
      <c r="D954" s="2">
        <v>0</v>
      </c>
      <c r="E954" s="1" t="s">
        <v>490</v>
      </c>
      <c r="F954" s="5">
        <v>7</v>
      </c>
      <c r="G954" s="5">
        <v>2</v>
      </c>
      <c r="H954" s="1">
        <v>1.1399999999999999</v>
      </c>
      <c r="I954" s="1">
        <v>7.48</v>
      </c>
      <c r="J954" s="1">
        <v>14.06</v>
      </c>
      <c r="K954" s="6">
        <f>+H954-J954</f>
        <v>-12.92</v>
      </c>
      <c r="L954" s="7" t="str">
        <f>IF(F954-G954&gt;0,"Win","Loss")</f>
        <v>Win</v>
      </c>
      <c r="M954" s="14">
        <f t="shared" si="28"/>
        <v>6.9999999999999929</v>
      </c>
      <c r="N954" s="14">
        <f t="shared" si="29"/>
        <v>50</v>
      </c>
    </row>
    <row r="955" spans="1:14" ht="12.75" x14ac:dyDescent="0.2">
      <c r="A955" s="1" t="s">
        <v>1014</v>
      </c>
      <c r="B955" s="3" t="s">
        <v>1015</v>
      </c>
      <c r="C955" s="4">
        <v>43540</v>
      </c>
      <c r="D955" s="2">
        <v>0.66666666666666663</v>
      </c>
      <c r="E955" s="1" t="s">
        <v>537</v>
      </c>
      <c r="F955" s="5">
        <v>3</v>
      </c>
      <c r="G955" s="5">
        <v>1</v>
      </c>
      <c r="H955" s="1">
        <v>2.89</v>
      </c>
      <c r="I955" s="1">
        <v>3.34</v>
      </c>
      <c r="J955" s="1">
        <v>2.2799999999999998</v>
      </c>
      <c r="K955" s="6">
        <f>+H955-J955</f>
        <v>0.61000000000000032</v>
      </c>
      <c r="L955" s="7" t="str">
        <f>IF(F955-G955&gt;0,"Win","Loss")</f>
        <v>Win</v>
      </c>
      <c r="M955" s="14">
        <f t="shared" si="28"/>
        <v>94.5</v>
      </c>
      <c r="N955" s="14">
        <f t="shared" si="29"/>
        <v>50</v>
      </c>
    </row>
    <row r="956" spans="1:14" ht="12.75" x14ac:dyDescent="0.2">
      <c r="A956" s="1" t="s">
        <v>1014</v>
      </c>
      <c r="B956" s="3" t="s">
        <v>1015</v>
      </c>
      <c r="C956" s="4">
        <v>43540</v>
      </c>
      <c r="D956" s="2">
        <v>0.625</v>
      </c>
      <c r="E956" s="1" t="s">
        <v>538</v>
      </c>
      <c r="F956" s="5">
        <v>1</v>
      </c>
      <c r="G956" s="5">
        <v>0</v>
      </c>
      <c r="H956" s="1">
        <v>5.39</v>
      </c>
      <c r="I956" s="1">
        <v>4.17</v>
      </c>
      <c r="J956" s="1">
        <v>1.52</v>
      </c>
      <c r="K956" s="6">
        <f>+H956-J956</f>
        <v>3.8699999999999997</v>
      </c>
      <c r="L956" s="7" t="str">
        <f>IF(F956-G956&gt;0,"Win","Loss")</f>
        <v>Win</v>
      </c>
      <c r="M956" s="14">
        <f t="shared" si="28"/>
        <v>219.5</v>
      </c>
      <c r="N956" s="14">
        <f t="shared" si="29"/>
        <v>50</v>
      </c>
    </row>
    <row r="957" spans="1:14" ht="12.75" x14ac:dyDescent="0.2">
      <c r="A957" s="1" t="s">
        <v>1020</v>
      </c>
      <c r="B957" s="3" t="s">
        <v>1021</v>
      </c>
      <c r="C957" s="4">
        <v>43540</v>
      </c>
      <c r="D957" s="2">
        <v>0.54166666666666663</v>
      </c>
      <c r="E957" s="1" t="s">
        <v>676</v>
      </c>
      <c r="F957" s="5">
        <v>0</v>
      </c>
      <c r="G957" s="5">
        <v>1</v>
      </c>
      <c r="H957" s="1">
        <v>2.4300000000000002</v>
      </c>
      <c r="I957" s="1">
        <v>3.63</v>
      </c>
      <c r="J957" s="1">
        <v>2.4700000000000002</v>
      </c>
      <c r="K957" s="6">
        <f>+H957-J957</f>
        <v>-4.0000000000000036E-2</v>
      </c>
      <c r="L957" s="7" t="str">
        <f>IF(F957-G957&gt;0,"Win","Loss")</f>
        <v>Loss</v>
      </c>
      <c r="M957" s="14">
        <f t="shared" si="28"/>
        <v>-50</v>
      </c>
      <c r="N957" s="14">
        <f t="shared" si="29"/>
        <v>50</v>
      </c>
    </row>
    <row r="958" spans="1:14" ht="12.75" x14ac:dyDescent="0.2">
      <c r="A958" s="1" t="s">
        <v>1020</v>
      </c>
      <c r="B958" s="3" t="s">
        <v>1021</v>
      </c>
      <c r="C958" s="4">
        <v>43540</v>
      </c>
      <c r="D958" s="2">
        <v>0.5</v>
      </c>
      <c r="E958" s="1" t="s">
        <v>677</v>
      </c>
      <c r="F958" s="5">
        <v>4</v>
      </c>
      <c r="G958" s="5" t="s">
        <v>981</v>
      </c>
      <c r="H958" s="1">
        <v>4.71</v>
      </c>
      <c r="I958" s="1">
        <v>4</v>
      </c>
      <c r="J958" s="1">
        <v>1.6</v>
      </c>
      <c r="K958" s="6">
        <f>+H958-J958</f>
        <v>3.11</v>
      </c>
      <c r="L958" s="7" t="str">
        <f>IF(F958-G958&gt;0,"Win","Loss")</f>
        <v>Win</v>
      </c>
      <c r="M958" s="14">
        <f t="shared" si="28"/>
        <v>185.5</v>
      </c>
      <c r="N958" s="14">
        <f t="shared" si="29"/>
        <v>50</v>
      </c>
    </row>
    <row r="959" spans="1:14" ht="12.75" x14ac:dyDescent="0.2">
      <c r="A959" s="1" t="s">
        <v>1020</v>
      </c>
      <c r="B959" s="3" t="s">
        <v>1021</v>
      </c>
      <c r="C959" s="4">
        <v>43540</v>
      </c>
      <c r="D959" s="2">
        <v>0.45833333333333331</v>
      </c>
      <c r="E959" s="1" t="s">
        <v>678</v>
      </c>
      <c r="F959" s="5">
        <v>1</v>
      </c>
      <c r="G959" s="5">
        <v>0</v>
      </c>
      <c r="H959" s="1">
        <v>1.26</v>
      </c>
      <c r="I959" s="1">
        <v>5.32</v>
      </c>
      <c r="J959" s="1">
        <v>8.07</v>
      </c>
      <c r="K959" s="6">
        <f>+H959-J959</f>
        <v>-6.8100000000000005</v>
      </c>
      <c r="L959" s="7" t="str">
        <f>IF(F959-G959&gt;0,"Win","Loss")</f>
        <v>Win</v>
      </c>
      <c r="M959" s="14">
        <f t="shared" si="28"/>
        <v>13</v>
      </c>
      <c r="N959" s="14">
        <f t="shared" si="29"/>
        <v>50</v>
      </c>
    </row>
    <row r="960" spans="1:14" ht="12.75" x14ac:dyDescent="0.2">
      <c r="A960" s="1" t="s">
        <v>1020</v>
      </c>
      <c r="B960" s="3" t="s">
        <v>1021</v>
      </c>
      <c r="C960" s="4">
        <v>43540</v>
      </c>
      <c r="D960" s="2">
        <v>0.41666666666666669</v>
      </c>
      <c r="E960" s="1" t="s">
        <v>679</v>
      </c>
      <c r="F960" s="5">
        <v>1</v>
      </c>
      <c r="G960" s="5">
        <v>0</v>
      </c>
      <c r="H960" s="1">
        <v>6.22</v>
      </c>
      <c r="I960" s="1">
        <v>5.53</v>
      </c>
      <c r="J960" s="1">
        <v>1.32</v>
      </c>
      <c r="K960" s="6">
        <f>+H960-J960</f>
        <v>4.8999999999999995</v>
      </c>
      <c r="L960" s="7" t="str">
        <f>IF(F960-G960&gt;0,"Win","Loss")</f>
        <v>Win</v>
      </c>
      <c r="M960" s="14">
        <f t="shared" si="28"/>
        <v>261</v>
      </c>
      <c r="N960" s="14">
        <f t="shared" si="29"/>
        <v>50</v>
      </c>
    </row>
    <row r="961" spans="1:14" ht="12.75" x14ac:dyDescent="0.2">
      <c r="A961" s="1" t="s">
        <v>1020</v>
      </c>
      <c r="B961" s="3" t="s">
        <v>1021</v>
      </c>
      <c r="C961" s="4">
        <v>43540</v>
      </c>
      <c r="D961" s="2">
        <v>0.41666666666666669</v>
      </c>
      <c r="E961" s="1" t="s">
        <v>680</v>
      </c>
      <c r="F961" s="5">
        <v>4</v>
      </c>
      <c r="G961" s="5">
        <v>3</v>
      </c>
      <c r="H961" s="1">
        <v>1.8</v>
      </c>
      <c r="I961" s="1">
        <v>3.6</v>
      </c>
      <c r="J961" s="1">
        <v>3.76</v>
      </c>
      <c r="K961" s="6">
        <f>+H961-J961</f>
        <v>-1.9599999999999997</v>
      </c>
      <c r="L961" s="7" t="str">
        <f>IF(F961-G961&gt;0,"Win","Loss")</f>
        <v>Win</v>
      </c>
      <c r="M961" s="14">
        <f t="shared" si="28"/>
        <v>40</v>
      </c>
      <c r="N961" s="14">
        <f t="shared" si="29"/>
        <v>50</v>
      </c>
    </row>
    <row r="962" spans="1:14" ht="12.75" x14ac:dyDescent="0.2">
      <c r="A962" s="1" t="s">
        <v>1020</v>
      </c>
      <c r="B962" s="3" t="s">
        <v>1021</v>
      </c>
      <c r="C962" s="4">
        <v>43540</v>
      </c>
      <c r="D962" s="2">
        <v>0.39583333333333331</v>
      </c>
      <c r="E962" s="1" t="s">
        <v>681</v>
      </c>
      <c r="F962" s="5">
        <v>4</v>
      </c>
      <c r="G962" s="5">
        <v>0</v>
      </c>
      <c r="H962" s="1">
        <v>2.66</v>
      </c>
      <c r="I962" s="1">
        <v>3.74</v>
      </c>
      <c r="J962" s="1">
        <v>2.23</v>
      </c>
      <c r="K962" s="6">
        <f>+H962-J962</f>
        <v>0.43000000000000016</v>
      </c>
      <c r="L962" s="7" t="str">
        <f>IF(F962-G962&gt;0,"Win","Loss")</f>
        <v>Win</v>
      </c>
      <c r="M962" s="14">
        <f t="shared" si="28"/>
        <v>83</v>
      </c>
      <c r="N962" s="14">
        <f t="shared" si="29"/>
        <v>50</v>
      </c>
    </row>
    <row r="963" spans="1:14" ht="12.75" x14ac:dyDescent="0.2">
      <c r="A963" s="1" t="s">
        <v>1020</v>
      </c>
      <c r="B963" s="3" t="s">
        <v>1021</v>
      </c>
      <c r="C963" s="4">
        <v>43540</v>
      </c>
      <c r="D963" s="2">
        <v>0.39583333333333331</v>
      </c>
      <c r="E963" s="1" t="s">
        <v>682</v>
      </c>
      <c r="F963" s="5">
        <v>1</v>
      </c>
      <c r="G963" s="5">
        <v>0</v>
      </c>
      <c r="H963" s="1">
        <v>2.69</v>
      </c>
      <c r="I963" s="1">
        <v>3.27</v>
      </c>
      <c r="J963" s="1">
        <v>2.42</v>
      </c>
      <c r="K963" s="6">
        <f>+H963-J963</f>
        <v>0.27</v>
      </c>
      <c r="L963" s="7" t="str">
        <f>IF(F963-G963&gt;0,"Win","Loss")</f>
        <v>Win</v>
      </c>
      <c r="M963" s="14">
        <f t="shared" si="28"/>
        <v>84.5</v>
      </c>
      <c r="N963" s="14">
        <f t="shared" si="29"/>
        <v>50</v>
      </c>
    </row>
    <row r="964" spans="1:14" ht="12.75" x14ac:dyDescent="0.2">
      <c r="A964" s="1" t="s">
        <v>996</v>
      </c>
      <c r="B964" s="3" t="s">
        <v>997</v>
      </c>
      <c r="C964" s="4">
        <v>43541</v>
      </c>
      <c r="D964" s="2">
        <v>0.66666666666666663</v>
      </c>
      <c r="E964" s="1" t="s">
        <v>69</v>
      </c>
      <c r="F964" s="5">
        <v>3</v>
      </c>
      <c r="G964" s="5">
        <v>0</v>
      </c>
      <c r="H964" s="1">
        <v>1.99</v>
      </c>
      <c r="I964" s="1">
        <v>3.03</v>
      </c>
      <c r="J964" s="1">
        <v>3.62</v>
      </c>
      <c r="K964" s="6">
        <f>+H964-J964</f>
        <v>-1.6300000000000001</v>
      </c>
      <c r="L964" s="7" t="str">
        <f>IF(F964-G964&gt;0,"Win","Loss")</f>
        <v>Win</v>
      </c>
      <c r="M964" s="14">
        <f t="shared" si="28"/>
        <v>49.5</v>
      </c>
      <c r="N964" s="14">
        <f t="shared" si="29"/>
        <v>50</v>
      </c>
    </row>
    <row r="965" spans="1:14" ht="12.75" x14ac:dyDescent="0.2">
      <c r="A965" s="1" t="s">
        <v>996</v>
      </c>
      <c r="B965" s="3" t="s">
        <v>997</v>
      </c>
      <c r="C965" s="4">
        <v>43541</v>
      </c>
      <c r="D965" s="2">
        <v>0.54166666666666663</v>
      </c>
      <c r="E965" s="1" t="s">
        <v>70</v>
      </c>
      <c r="F965" s="5">
        <v>1</v>
      </c>
      <c r="G965" s="5">
        <v>0</v>
      </c>
      <c r="H965" s="1">
        <v>2.33</v>
      </c>
      <c r="I965" s="1">
        <v>2.89</v>
      </c>
      <c r="J965" s="1">
        <v>2.98</v>
      </c>
      <c r="K965" s="6">
        <f>+H965-J965</f>
        <v>-0.64999999999999991</v>
      </c>
      <c r="L965" s="7" t="str">
        <f>IF(F965-G965&gt;0,"Win","Loss")</f>
        <v>Win</v>
      </c>
      <c r="M965" s="14">
        <f t="shared" si="28"/>
        <v>66.5</v>
      </c>
      <c r="N965" s="14">
        <f t="shared" si="29"/>
        <v>50</v>
      </c>
    </row>
    <row r="966" spans="1:14" ht="12.75" x14ac:dyDescent="0.2">
      <c r="A966" s="1" t="s">
        <v>996</v>
      </c>
      <c r="B966" s="3" t="s">
        <v>997</v>
      </c>
      <c r="C966" s="4">
        <v>43541</v>
      </c>
      <c r="D966" s="2">
        <v>0.54166666666666663</v>
      </c>
      <c r="E966" s="1" t="s">
        <v>71</v>
      </c>
      <c r="F966" s="5">
        <v>0</v>
      </c>
      <c r="G966" s="5">
        <v>0</v>
      </c>
      <c r="H966" s="1">
        <v>1.93</v>
      </c>
      <c r="I966" s="1">
        <v>2.89</v>
      </c>
      <c r="J966" s="1">
        <v>4.1399999999999997</v>
      </c>
      <c r="K966" s="6">
        <f>+H966-J966</f>
        <v>-2.21</v>
      </c>
      <c r="L966" s="7" t="str">
        <f>IF(F966-G966&gt;0,"Win","Loss")</f>
        <v>Loss</v>
      </c>
      <c r="M966" s="14">
        <f t="shared" si="28"/>
        <v>-50</v>
      </c>
      <c r="N966" s="14">
        <f t="shared" si="29"/>
        <v>50</v>
      </c>
    </row>
    <row r="967" spans="1:14" ht="12.75" x14ac:dyDescent="0.2">
      <c r="A967" s="1" t="s">
        <v>998</v>
      </c>
      <c r="B967" s="3" t="s">
        <v>999</v>
      </c>
      <c r="C967" s="4">
        <v>43541</v>
      </c>
      <c r="D967" s="2">
        <v>0.70833333333333337</v>
      </c>
      <c r="E967" s="1" t="s">
        <v>118</v>
      </c>
      <c r="F967" s="5">
        <v>2</v>
      </c>
      <c r="G967" s="5">
        <v>1</v>
      </c>
      <c r="H967" s="1">
        <v>1.05</v>
      </c>
      <c r="I967" s="1">
        <v>9.69</v>
      </c>
      <c r="J967" s="1">
        <v>26.56</v>
      </c>
      <c r="K967" s="6">
        <f>+H967-J967</f>
        <v>-25.509999999999998</v>
      </c>
      <c r="L967" s="7" t="str">
        <f>IF(F967-G967&gt;0,"Win","Loss")</f>
        <v>Win</v>
      </c>
      <c r="M967" s="14">
        <f t="shared" si="28"/>
        <v>2.5</v>
      </c>
      <c r="N967" s="14">
        <f t="shared" si="29"/>
        <v>50</v>
      </c>
    </row>
    <row r="968" spans="1:14" ht="12.75" x14ac:dyDescent="0.2">
      <c r="A968" s="1" t="s">
        <v>998</v>
      </c>
      <c r="B968" s="3" t="s">
        <v>999</v>
      </c>
      <c r="C968" s="4">
        <v>43541</v>
      </c>
      <c r="D968" s="2">
        <v>0.54166666666666663</v>
      </c>
      <c r="E968" s="1" t="s">
        <v>119</v>
      </c>
      <c r="F968" s="5">
        <v>2</v>
      </c>
      <c r="G968" s="5">
        <v>1</v>
      </c>
      <c r="H968" s="1">
        <v>1.49</v>
      </c>
      <c r="I968" s="1">
        <v>3.81</v>
      </c>
      <c r="J968" s="1">
        <v>5.74</v>
      </c>
      <c r="K968" s="6">
        <f>+H968-J968</f>
        <v>-4.25</v>
      </c>
      <c r="L968" s="7" t="str">
        <f>IF(F968-G968&gt;0,"Win","Loss")</f>
        <v>Win</v>
      </c>
      <c r="M968" s="14">
        <f t="shared" si="28"/>
        <v>24.5</v>
      </c>
      <c r="N968" s="14">
        <f t="shared" si="29"/>
        <v>50</v>
      </c>
    </row>
    <row r="969" spans="1:14" ht="12.75" x14ac:dyDescent="0.2">
      <c r="A969" s="1" t="s">
        <v>1000</v>
      </c>
      <c r="B969" s="3" t="s">
        <v>1001</v>
      </c>
      <c r="C969" s="4">
        <v>43541</v>
      </c>
      <c r="D969" s="2">
        <v>0.95833333333333337</v>
      </c>
      <c r="E969" s="1" t="s">
        <v>138</v>
      </c>
      <c r="F969" s="5">
        <v>1</v>
      </c>
      <c r="G969" s="5">
        <v>0</v>
      </c>
      <c r="H969" s="1">
        <v>2.2999999999999998</v>
      </c>
      <c r="I969" s="1">
        <v>2.94</v>
      </c>
      <c r="J969" s="1">
        <v>3.23</v>
      </c>
      <c r="K969" s="6">
        <f>+H969-J969</f>
        <v>-0.93000000000000016</v>
      </c>
      <c r="L969" s="7" t="str">
        <f>IF(F969-G969&gt;0,"Win","Loss")</f>
        <v>Win</v>
      </c>
      <c r="M969" s="14">
        <f t="shared" si="28"/>
        <v>64.999999999999986</v>
      </c>
      <c r="N969" s="14">
        <f t="shared" si="29"/>
        <v>50</v>
      </c>
    </row>
    <row r="970" spans="1:14" ht="12.75" x14ac:dyDescent="0.2">
      <c r="A970" s="1" t="s">
        <v>1000</v>
      </c>
      <c r="B970" s="3" t="s">
        <v>1001</v>
      </c>
      <c r="C970" s="4">
        <v>43541</v>
      </c>
      <c r="D970" s="2">
        <v>0.91666666666666663</v>
      </c>
      <c r="E970" s="1" t="s">
        <v>139</v>
      </c>
      <c r="F970" s="5">
        <v>3</v>
      </c>
      <c r="G970" s="5">
        <v>0</v>
      </c>
      <c r="H970" s="1">
        <v>2.16</v>
      </c>
      <c r="I970" s="1">
        <v>2.91</v>
      </c>
      <c r="J970" s="1">
        <v>3.67</v>
      </c>
      <c r="K970" s="6">
        <f>+H970-J970</f>
        <v>-1.5099999999999998</v>
      </c>
      <c r="L970" s="7" t="str">
        <f>IF(F970-G970&gt;0,"Win","Loss")</f>
        <v>Win</v>
      </c>
      <c r="M970" s="14">
        <f t="shared" si="28"/>
        <v>58</v>
      </c>
      <c r="N970" s="14">
        <f t="shared" si="29"/>
        <v>50</v>
      </c>
    </row>
    <row r="971" spans="1:14" ht="12.75" x14ac:dyDescent="0.2">
      <c r="A971" s="1" t="s">
        <v>1000</v>
      </c>
      <c r="B971" s="3" t="s">
        <v>1001</v>
      </c>
      <c r="C971" s="4">
        <v>43541</v>
      </c>
      <c r="D971" s="2">
        <v>0.91666666666666663</v>
      </c>
      <c r="E971" s="1" t="s">
        <v>140</v>
      </c>
      <c r="F971" s="5">
        <v>2</v>
      </c>
      <c r="G971" s="5">
        <v>0</v>
      </c>
      <c r="H971" s="1">
        <v>2.0499999999999998</v>
      </c>
      <c r="I971" s="1">
        <v>2.9</v>
      </c>
      <c r="J971" s="1">
        <v>4.01</v>
      </c>
      <c r="K971" s="6">
        <f>+H971-J971</f>
        <v>-1.96</v>
      </c>
      <c r="L971" s="7" t="str">
        <f>IF(F971-G971&gt;0,"Win","Loss")</f>
        <v>Win</v>
      </c>
      <c r="M971" s="14">
        <f t="shared" si="28"/>
        <v>52.499999999999986</v>
      </c>
      <c r="N971" s="14">
        <f t="shared" si="29"/>
        <v>50</v>
      </c>
    </row>
    <row r="972" spans="1:14" ht="12.75" x14ac:dyDescent="0.2">
      <c r="A972" s="1" t="s">
        <v>1000</v>
      </c>
      <c r="B972" s="3" t="s">
        <v>1001</v>
      </c>
      <c r="C972" s="4">
        <v>43541</v>
      </c>
      <c r="D972" s="2">
        <v>0.79166666666666663</v>
      </c>
      <c r="E972" s="1" t="s">
        <v>141</v>
      </c>
      <c r="F972" s="5">
        <v>1</v>
      </c>
      <c r="G972" s="5">
        <v>0</v>
      </c>
      <c r="H972" s="1">
        <v>2.0699999999999998</v>
      </c>
      <c r="I972" s="1">
        <v>2.84</v>
      </c>
      <c r="J972" s="1">
        <v>3.97</v>
      </c>
      <c r="K972" s="6">
        <f>+H972-J972</f>
        <v>-1.9000000000000004</v>
      </c>
      <c r="L972" s="7" t="str">
        <f>IF(F972-G972&gt;0,"Win","Loss")</f>
        <v>Win</v>
      </c>
      <c r="M972" s="14">
        <f t="shared" si="28"/>
        <v>53.499999999999986</v>
      </c>
      <c r="N972" s="14">
        <f t="shared" si="29"/>
        <v>50</v>
      </c>
    </row>
    <row r="973" spans="1:14" ht="12.75" x14ac:dyDescent="0.2">
      <c r="A973" s="1" t="s">
        <v>1000</v>
      </c>
      <c r="B973" s="3" t="s">
        <v>1001</v>
      </c>
      <c r="C973" s="4">
        <v>43541</v>
      </c>
      <c r="D973" s="2">
        <v>0.79166666666666663</v>
      </c>
      <c r="E973" s="1" t="s">
        <v>142</v>
      </c>
      <c r="F973" s="5">
        <v>5</v>
      </c>
      <c r="G973" s="5">
        <v>1</v>
      </c>
      <c r="H973" s="1">
        <v>2.1800000000000002</v>
      </c>
      <c r="I973" s="1">
        <v>2.93</v>
      </c>
      <c r="J973" s="1">
        <v>3.52</v>
      </c>
      <c r="K973" s="6">
        <f>+H973-J973</f>
        <v>-1.3399999999999999</v>
      </c>
      <c r="L973" s="7" t="str">
        <f>IF(F973-G973&gt;0,"Win","Loss")</f>
        <v>Win</v>
      </c>
      <c r="M973" s="14">
        <f t="shared" si="28"/>
        <v>59.000000000000014</v>
      </c>
      <c r="N973" s="14">
        <f t="shared" si="29"/>
        <v>50</v>
      </c>
    </row>
    <row r="974" spans="1:14" ht="12.75" x14ac:dyDescent="0.2">
      <c r="A974" s="1" t="s">
        <v>1000</v>
      </c>
      <c r="B974" s="3" t="s">
        <v>1001</v>
      </c>
      <c r="C974" s="4">
        <v>43541</v>
      </c>
      <c r="D974" s="2">
        <v>0.79166666666666663</v>
      </c>
      <c r="E974" s="1" t="s">
        <v>143</v>
      </c>
      <c r="F974" s="5">
        <v>3</v>
      </c>
      <c r="G974" s="5">
        <v>0</v>
      </c>
      <c r="H974" s="1">
        <v>2.2400000000000002</v>
      </c>
      <c r="I974" s="1">
        <v>2.85</v>
      </c>
      <c r="J974" s="1">
        <v>3.45</v>
      </c>
      <c r="K974" s="6">
        <f>+H974-J974</f>
        <v>-1.21</v>
      </c>
      <c r="L974" s="7" t="str">
        <f>IF(F974-G974&gt;0,"Win","Loss")</f>
        <v>Win</v>
      </c>
      <c r="M974" s="14">
        <f t="shared" ref="M974:M989" si="30">IF(L974="Win",(H974*N974)-N974,-N974)</f>
        <v>62.000000000000014</v>
      </c>
      <c r="N974" s="14">
        <f t="shared" ref="N974:N989" si="31">+$M$1</f>
        <v>50</v>
      </c>
    </row>
    <row r="975" spans="1:14" ht="12.75" x14ac:dyDescent="0.2">
      <c r="A975" s="1" t="s">
        <v>1000</v>
      </c>
      <c r="B975" s="3" t="s">
        <v>1001</v>
      </c>
      <c r="C975" s="4">
        <v>43541</v>
      </c>
      <c r="D975" s="2">
        <v>0.79166666666666663</v>
      </c>
      <c r="E975" s="1" t="s">
        <v>144</v>
      </c>
      <c r="F975" s="5">
        <v>2</v>
      </c>
      <c r="G975" s="5">
        <v>0</v>
      </c>
      <c r="H975" s="1">
        <v>2.33</v>
      </c>
      <c r="I975" s="1">
        <v>2.85</v>
      </c>
      <c r="J975" s="1">
        <v>3.27</v>
      </c>
      <c r="K975" s="6">
        <f>+H975-J975</f>
        <v>-0.94</v>
      </c>
      <c r="L975" s="7" t="str">
        <f>IF(F975-G975&gt;0,"Win","Loss")</f>
        <v>Win</v>
      </c>
      <c r="M975" s="14">
        <f t="shared" si="30"/>
        <v>66.5</v>
      </c>
      <c r="N975" s="14">
        <f t="shared" si="31"/>
        <v>50</v>
      </c>
    </row>
    <row r="976" spans="1:14" ht="12.75" x14ac:dyDescent="0.2">
      <c r="A976" s="1" t="s">
        <v>1000</v>
      </c>
      <c r="B976" s="3" t="s">
        <v>1001</v>
      </c>
      <c r="C976" s="4">
        <v>43541</v>
      </c>
      <c r="D976" s="2">
        <v>0.79166666666666663</v>
      </c>
      <c r="E976" s="1" t="s">
        <v>145</v>
      </c>
      <c r="F976" s="5">
        <v>0</v>
      </c>
      <c r="G976" s="5">
        <v>2</v>
      </c>
      <c r="H976" s="1">
        <v>1.97</v>
      </c>
      <c r="I976" s="1">
        <v>3.06</v>
      </c>
      <c r="J976" s="1">
        <v>3.98</v>
      </c>
      <c r="K976" s="6">
        <f>+H976-J976</f>
        <v>-2.0099999999999998</v>
      </c>
      <c r="L976" s="7" t="str">
        <f>IF(F976-G976&gt;0,"Win","Loss")</f>
        <v>Loss</v>
      </c>
      <c r="M976" s="14">
        <f t="shared" si="30"/>
        <v>-50</v>
      </c>
      <c r="N976" s="14">
        <f t="shared" si="31"/>
        <v>50</v>
      </c>
    </row>
    <row r="977" spans="1:14" ht="12.75" x14ac:dyDescent="0.2">
      <c r="A977" s="1" t="s">
        <v>1000</v>
      </c>
      <c r="B977" s="3" t="s">
        <v>1001</v>
      </c>
      <c r="C977" s="4">
        <v>43541</v>
      </c>
      <c r="D977" s="2">
        <v>0.75347222222222221</v>
      </c>
      <c r="E977" s="1" t="s">
        <v>146</v>
      </c>
      <c r="F977" s="5">
        <v>1</v>
      </c>
      <c r="G977" s="5">
        <v>1</v>
      </c>
      <c r="H977" s="1">
        <v>1.53</v>
      </c>
      <c r="I977" s="1">
        <v>3.62</v>
      </c>
      <c r="J977" s="1">
        <v>6.19</v>
      </c>
      <c r="K977" s="6">
        <f>+H977-J977</f>
        <v>-4.66</v>
      </c>
      <c r="L977" s="7" t="str">
        <f>IF(F977-G977&gt;0,"Win","Loss")</f>
        <v>Loss</v>
      </c>
      <c r="M977" s="14">
        <f t="shared" si="30"/>
        <v>-50</v>
      </c>
      <c r="N977" s="14">
        <f t="shared" si="31"/>
        <v>50</v>
      </c>
    </row>
    <row r="978" spans="1:14" ht="12.75" x14ac:dyDescent="0.2">
      <c r="A978" s="1" t="s">
        <v>1010</v>
      </c>
      <c r="B978" s="3" t="s">
        <v>1011</v>
      </c>
      <c r="C978" s="4">
        <v>43541</v>
      </c>
      <c r="D978" s="2">
        <v>0.58333333333333337</v>
      </c>
      <c r="E978" s="1" t="s">
        <v>434</v>
      </c>
      <c r="F978" s="5">
        <v>0</v>
      </c>
      <c r="G978" s="5">
        <v>2</v>
      </c>
      <c r="H978" s="1">
        <v>1.9</v>
      </c>
      <c r="I978" s="1">
        <v>3.6</v>
      </c>
      <c r="J978" s="1">
        <v>3.1</v>
      </c>
      <c r="K978" s="6">
        <f>+H978-J978</f>
        <v>-1.2000000000000002</v>
      </c>
      <c r="L978" s="7" t="str">
        <f>IF(F978-G978&gt;0,"Win","Loss")</f>
        <v>Loss</v>
      </c>
      <c r="M978" s="14">
        <f t="shared" si="30"/>
        <v>-50</v>
      </c>
      <c r="N978" s="14">
        <f t="shared" si="31"/>
        <v>50</v>
      </c>
    </row>
    <row r="979" spans="1:14" ht="12.75" x14ac:dyDescent="0.2">
      <c r="A979" s="1" t="s">
        <v>1010</v>
      </c>
      <c r="B979" s="3" t="s">
        <v>1011</v>
      </c>
      <c r="C979" s="4">
        <v>43541</v>
      </c>
      <c r="D979" s="2">
        <v>0.58333333333333337</v>
      </c>
      <c r="E979" s="1" t="s">
        <v>435</v>
      </c>
      <c r="F979" s="5">
        <v>1</v>
      </c>
      <c r="G979" s="5">
        <v>0</v>
      </c>
      <c r="H979" s="1">
        <v>2.95</v>
      </c>
      <c r="I979" s="1">
        <v>3.5</v>
      </c>
      <c r="J979" s="1">
        <v>2</v>
      </c>
      <c r="K979" s="6">
        <f>+H979-J979</f>
        <v>0.95000000000000018</v>
      </c>
      <c r="L979" s="7" t="str">
        <f>IF(F979-G979&gt;0,"Win","Loss")</f>
        <v>Win</v>
      </c>
      <c r="M979" s="14">
        <f t="shared" si="30"/>
        <v>97.5</v>
      </c>
      <c r="N979" s="14">
        <f t="shared" si="31"/>
        <v>50</v>
      </c>
    </row>
    <row r="980" spans="1:14" ht="12.75" x14ac:dyDescent="0.2">
      <c r="A980" s="1" t="s">
        <v>1010</v>
      </c>
      <c r="B980" s="3" t="s">
        <v>1011</v>
      </c>
      <c r="C980" s="4">
        <v>43541</v>
      </c>
      <c r="D980" s="2">
        <v>0.58333333333333337</v>
      </c>
      <c r="E980" s="1" t="s">
        <v>436</v>
      </c>
      <c r="F980" s="5">
        <v>1</v>
      </c>
      <c r="G980" s="5">
        <v>0</v>
      </c>
      <c r="H980" s="1">
        <v>1.9</v>
      </c>
      <c r="I980" s="1">
        <v>3.45</v>
      </c>
      <c r="J980" s="1">
        <v>3.2</v>
      </c>
      <c r="K980" s="6">
        <f>+H980-J980</f>
        <v>-1.3000000000000003</v>
      </c>
      <c r="L980" s="7" t="str">
        <f>IF(F980-G980&gt;0,"Win","Loss")</f>
        <v>Win</v>
      </c>
      <c r="M980" s="14">
        <f t="shared" si="30"/>
        <v>45</v>
      </c>
      <c r="N980" s="14">
        <f t="shared" si="31"/>
        <v>50</v>
      </c>
    </row>
    <row r="981" spans="1:14" ht="12.75" x14ac:dyDescent="0.2">
      <c r="A981" s="1" t="s">
        <v>1010</v>
      </c>
      <c r="B981" s="3" t="s">
        <v>1011</v>
      </c>
      <c r="C981" s="4">
        <v>43541</v>
      </c>
      <c r="D981" s="2">
        <v>0.58333333333333337</v>
      </c>
      <c r="E981" s="1" t="s">
        <v>437</v>
      </c>
      <c r="F981" s="5">
        <v>2</v>
      </c>
      <c r="G981" s="5">
        <v>1</v>
      </c>
      <c r="H981" s="1">
        <v>1.3</v>
      </c>
      <c r="I981" s="1">
        <v>4.75</v>
      </c>
      <c r="J981" s="1">
        <v>6.25</v>
      </c>
      <c r="K981" s="6">
        <f>+H981-J981</f>
        <v>-4.95</v>
      </c>
      <c r="L981" s="7" t="str">
        <f>IF(F981-G981&gt;0,"Win","Loss")</f>
        <v>Win</v>
      </c>
      <c r="M981" s="14">
        <f t="shared" si="30"/>
        <v>15</v>
      </c>
      <c r="N981" s="14">
        <f t="shared" si="31"/>
        <v>50</v>
      </c>
    </row>
    <row r="982" spans="1:14" ht="12.75" x14ac:dyDescent="0.2">
      <c r="A982" s="1" t="s">
        <v>1012</v>
      </c>
      <c r="B982" s="3" t="s">
        <v>1013</v>
      </c>
      <c r="C982" s="4">
        <v>43541</v>
      </c>
      <c r="D982" s="2">
        <v>0.97916666666666663</v>
      </c>
      <c r="E982" s="1" t="s">
        <v>484</v>
      </c>
      <c r="F982" s="5">
        <v>2</v>
      </c>
      <c r="G982" s="5">
        <v>0</v>
      </c>
      <c r="H982" s="1">
        <v>1.56</v>
      </c>
      <c r="I982" s="1">
        <v>4.33</v>
      </c>
      <c r="J982" s="1">
        <v>4.71</v>
      </c>
      <c r="K982" s="6">
        <f>+H982-J982</f>
        <v>-3.15</v>
      </c>
      <c r="L982" s="7" t="str">
        <f>IF(F982-G982&gt;0,"Win","Loss")</f>
        <v>Win</v>
      </c>
      <c r="M982" s="14">
        <f t="shared" si="30"/>
        <v>28</v>
      </c>
      <c r="N982" s="14">
        <f t="shared" si="31"/>
        <v>50</v>
      </c>
    </row>
    <row r="983" spans="1:14" ht="12.75" x14ac:dyDescent="0.2">
      <c r="A983" s="1" t="s">
        <v>1012</v>
      </c>
      <c r="B983" s="3" t="s">
        <v>1013</v>
      </c>
      <c r="C983" s="4">
        <v>43541</v>
      </c>
      <c r="D983" s="2">
        <v>0.88541666666666663</v>
      </c>
      <c r="E983" s="1" t="s">
        <v>485</v>
      </c>
      <c r="F983" s="5">
        <v>3</v>
      </c>
      <c r="G983" s="5">
        <v>1</v>
      </c>
      <c r="H983" s="1">
        <v>1.34</v>
      </c>
      <c r="I983" s="1">
        <v>5.03</v>
      </c>
      <c r="J983" s="1">
        <v>7.26</v>
      </c>
      <c r="K983" s="6">
        <f>+H983-J983</f>
        <v>-5.92</v>
      </c>
      <c r="L983" s="7" t="str">
        <f>IF(F983-G983&gt;0,"Win","Loss")</f>
        <v>Win</v>
      </c>
      <c r="M983" s="14">
        <f t="shared" si="30"/>
        <v>17</v>
      </c>
      <c r="N983" s="14">
        <f t="shared" si="31"/>
        <v>50</v>
      </c>
    </row>
    <row r="984" spans="1:14" ht="12.75" x14ac:dyDescent="0.2">
      <c r="A984" s="1" t="s">
        <v>1012</v>
      </c>
      <c r="B984" s="3" t="s">
        <v>1013</v>
      </c>
      <c r="C984" s="4">
        <v>43541</v>
      </c>
      <c r="D984" s="2">
        <v>0.83333333333333337</v>
      </c>
      <c r="E984" s="1" t="s">
        <v>486</v>
      </c>
      <c r="F984" s="5">
        <v>4</v>
      </c>
      <c r="G984" s="5">
        <v>1</v>
      </c>
      <c r="H984" s="1">
        <v>1.1499999999999999</v>
      </c>
      <c r="I984" s="1">
        <v>7.37</v>
      </c>
      <c r="J984" s="1">
        <v>11.87</v>
      </c>
      <c r="K984" s="6">
        <f>+H984-J984</f>
        <v>-10.719999999999999</v>
      </c>
      <c r="L984" s="7" t="str">
        <f>IF(F984-G984&gt;0,"Win","Loss")</f>
        <v>Win</v>
      </c>
      <c r="M984" s="14">
        <f t="shared" si="30"/>
        <v>7.4999999999999929</v>
      </c>
      <c r="N984" s="14">
        <f t="shared" si="31"/>
        <v>50</v>
      </c>
    </row>
    <row r="985" spans="1:14" ht="12.75" x14ac:dyDescent="0.2">
      <c r="A985" s="1" t="s">
        <v>1012</v>
      </c>
      <c r="B985" s="3" t="s">
        <v>1013</v>
      </c>
      <c r="C985" s="4">
        <v>43541</v>
      </c>
      <c r="D985" s="2">
        <v>0.79166666666666663</v>
      </c>
      <c r="E985" s="1" t="s">
        <v>487</v>
      </c>
      <c r="F985" s="5">
        <v>3</v>
      </c>
      <c r="G985" s="5">
        <v>2</v>
      </c>
      <c r="H985" s="1">
        <v>2.15</v>
      </c>
      <c r="I985" s="1">
        <v>3.22</v>
      </c>
      <c r="J985" s="1">
        <v>3.21</v>
      </c>
      <c r="K985" s="6">
        <f>+H985-J985</f>
        <v>-1.06</v>
      </c>
      <c r="L985" s="7" t="str">
        <f>IF(F985-G985&gt;0,"Win","Loss")</f>
        <v>Win</v>
      </c>
      <c r="M985" s="14">
        <f t="shared" si="30"/>
        <v>57.5</v>
      </c>
      <c r="N985" s="14">
        <f t="shared" si="31"/>
        <v>50</v>
      </c>
    </row>
    <row r="986" spans="1:14" ht="12.75" x14ac:dyDescent="0.2">
      <c r="A986" s="1" t="s">
        <v>1012</v>
      </c>
      <c r="B986" s="3" t="s">
        <v>1013</v>
      </c>
      <c r="C986" s="4">
        <v>43541</v>
      </c>
      <c r="D986" s="2">
        <v>0.79166666666666663</v>
      </c>
      <c r="E986" s="1" t="s">
        <v>488</v>
      </c>
      <c r="F986" s="5">
        <v>4</v>
      </c>
      <c r="G986" s="5">
        <v>1</v>
      </c>
      <c r="H986" s="1">
        <v>1.35</v>
      </c>
      <c r="I986" s="1">
        <v>4.74</v>
      </c>
      <c r="J986" s="1">
        <v>7.62</v>
      </c>
      <c r="K986" s="6">
        <f>+H986-J986</f>
        <v>-6.27</v>
      </c>
      <c r="L986" s="7" t="str">
        <f>IF(F986-G986&gt;0,"Win","Loss")</f>
        <v>Win</v>
      </c>
      <c r="M986" s="14">
        <f t="shared" si="30"/>
        <v>17.5</v>
      </c>
      <c r="N986" s="14">
        <f t="shared" si="31"/>
        <v>50</v>
      </c>
    </row>
    <row r="987" spans="1:14" ht="12.75" x14ac:dyDescent="0.2">
      <c r="A987" s="1" t="s">
        <v>1014</v>
      </c>
      <c r="B987" s="3" t="s">
        <v>1015</v>
      </c>
      <c r="C987" s="4">
        <v>43541</v>
      </c>
      <c r="D987" s="2">
        <v>0.66666666666666663</v>
      </c>
      <c r="E987" s="1" t="s">
        <v>534</v>
      </c>
      <c r="F987" s="5">
        <v>1</v>
      </c>
      <c r="G987" s="5">
        <v>3</v>
      </c>
      <c r="H987" s="1">
        <v>2.29</v>
      </c>
      <c r="I987" s="1">
        <v>3.5</v>
      </c>
      <c r="J987" s="1">
        <v>2.86</v>
      </c>
      <c r="K987" s="6">
        <f>+H987-J987</f>
        <v>-0.56999999999999984</v>
      </c>
      <c r="L987" s="7" t="str">
        <f>IF(F987-G987&gt;0,"Win","Loss")</f>
        <v>Loss</v>
      </c>
      <c r="M987" s="14">
        <f t="shared" si="30"/>
        <v>-50</v>
      </c>
      <c r="N987" s="14">
        <f t="shared" si="31"/>
        <v>50</v>
      </c>
    </row>
    <row r="988" spans="1:14" ht="12.75" x14ac:dyDescent="0.2">
      <c r="A988" s="1" t="s">
        <v>1014</v>
      </c>
      <c r="B988" s="3" t="s">
        <v>1015</v>
      </c>
      <c r="C988" s="4">
        <v>43541</v>
      </c>
      <c r="D988" s="2">
        <v>0.66666666666666663</v>
      </c>
      <c r="E988" s="1" t="s">
        <v>535</v>
      </c>
      <c r="F988" s="5">
        <v>1</v>
      </c>
      <c r="G988" s="5">
        <v>4</v>
      </c>
      <c r="H988" s="1">
        <v>2.8</v>
      </c>
      <c r="I988" s="1">
        <v>3.29</v>
      </c>
      <c r="J988" s="1">
        <v>2.39</v>
      </c>
      <c r="K988" s="6">
        <f>+H988-J988</f>
        <v>0.4099999999999997</v>
      </c>
      <c r="L988" s="7" t="str">
        <f>IF(F988-G988&gt;0,"Win","Loss")</f>
        <v>Loss</v>
      </c>
      <c r="M988" s="14">
        <f t="shared" si="30"/>
        <v>-50</v>
      </c>
      <c r="N988" s="14">
        <f t="shared" si="31"/>
        <v>50</v>
      </c>
    </row>
    <row r="989" spans="1:14" ht="12.75" x14ac:dyDescent="0.2">
      <c r="A989" s="1" t="s">
        <v>1014</v>
      </c>
      <c r="B989" s="3" t="s">
        <v>1015</v>
      </c>
      <c r="C989" s="4">
        <v>43541</v>
      </c>
      <c r="D989" s="2">
        <v>0.58333333333333337</v>
      </c>
      <c r="E989" s="1" t="s">
        <v>536</v>
      </c>
      <c r="F989" s="5">
        <v>0</v>
      </c>
      <c r="G989" s="5">
        <v>1</v>
      </c>
      <c r="H989" s="1">
        <v>2.19</v>
      </c>
      <c r="I989" s="1">
        <v>3.51</v>
      </c>
      <c r="J989" s="1">
        <v>2.99</v>
      </c>
      <c r="K989" s="6">
        <f>+H989-J989</f>
        <v>-0.80000000000000027</v>
      </c>
      <c r="L989" s="7" t="str">
        <f>IF(F989-G989&gt;0,"Win","Loss")</f>
        <v>Loss</v>
      </c>
      <c r="M989" s="14">
        <f t="shared" si="30"/>
        <v>-50</v>
      </c>
      <c r="N989" s="14">
        <f t="shared" si="31"/>
        <v>50</v>
      </c>
    </row>
    <row r="990" spans="1:14" ht="12.75" x14ac:dyDescent="0.2">
      <c r="M990" s="1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Filter">
                <anchor moveWithCells="1" sizeWithCells="1">
                  <from>
                    <xdr:col>10</xdr:col>
                    <xdr:colOff>19050</xdr:colOff>
                    <xdr:row>0</xdr:row>
                    <xdr:rowOff>9525</xdr:rowOff>
                  </from>
                  <to>
                    <xdr:col>10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Sheet1!Criteria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2019-03-22T09:40:13Z</dcterms:created>
  <dcterms:modified xsi:type="dcterms:W3CDTF">2019-03-22T16:06:54Z</dcterms:modified>
</cp:coreProperties>
</file>